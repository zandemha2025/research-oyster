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'User Stories'!$A$1:$M$94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12">
    <fill>
      <patternFill/>
    </fill>
    <fill>
      <patternFill patternType="gray125"/>
    </fill>
    <fill>
      <patternFill patternType="solid">
        <fgColor rgb="001F4E4E"/>
      </patternFill>
    </fill>
    <fill>
      <patternFill patternType="solid">
        <fgColor rgb="00EAF2F2"/>
      </patternFill>
    </fill>
    <fill>
      <patternFill patternType="solid">
        <fgColor rgb="00F3EEE6"/>
      </patternFill>
    </fill>
    <fill>
      <patternFill patternType="solid">
        <fgColor rgb="00EEF0F5"/>
      </patternFill>
    </fill>
    <fill>
      <patternFill patternType="solid">
        <fgColor rgb="00F5EEF0"/>
      </patternFill>
    </fill>
    <fill>
      <patternFill patternType="solid">
        <fgColor rgb="00EEF5EE"/>
      </patternFill>
    </fill>
    <fill>
      <patternFill patternType="solid">
        <fgColor rgb="00F5F3E8"/>
      </patternFill>
    </fill>
    <fill>
      <patternFill patternType="solid">
        <fgColor rgb="00D8EAD8"/>
      </patternFill>
    </fill>
    <fill>
      <patternFill patternType="solid">
        <fgColor rgb="00F8D7DA"/>
      </patternFill>
    </fill>
    <fill>
      <patternFill patternType="solid">
        <fgColor rgb="00FCEFC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30" customWidth="1" min="4" max="4"/>
    <col width="40" customWidth="1" min="5" max="5"/>
    <col width="46" customWidth="1" min="6" max="6"/>
    <col width="30" customWidth="1" min="7" max="7"/>
    <col width="40" customWidth="1" min="8" max="8"/>
    <col width="14" customWidth="1" min="9" max="9"/>
    <col width="18" customWidth="1" min="10" max="10"/>
    <col width="34" customWidth="1" min="11" max="11"/>
    <col width="34" customWidth="1" min="12" max="12"/>
    <col width="16" customWidth="1" min="13" max="13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Feature</t>
        </is>
      </c>
      <c r="D1" s="1" t="inlineStr">
        <is>
          <t>Reference</t>
        </is>
      </c>
      <c r="E1" s="1" t="inlineStr">
        <is>
          <t>User Story</t>
        </is>
      </c>
      <c r="F1" s="1" t="inlineStr">
        <is>
          <t>Expected Behaviour</t>
        </is>
      </c>
      <c r="G1" s="1" t="inlineStr">
        <is>
          <t>Invocation</t>
        </is>
      </c>
      <c r="H1" s="1" t="inlineStr">
        <is>
          <t>Edge Cases / Validation</t>
        </is>
      </c>
      <c r="I1" s="1" t="inlineStr">
        <is>
          <t>Phase 1 Status</t>
        </is>
      </c>
      <c r="J1" s="1" t="inlineStr">
        <is>
          <t>Phase 2 Test Result</t>
        </is>
      </c>
      <c r="K1" s="1" t="inlineStr">
        <is>
          <t>Errors Found</t>
        </is>
      </c>
      <c r="L1" s="1" t="inlineStr">
        <is>
          <t>Phase 3 Fix</t>
        </is>
      </c>
      <c r="M1" s="1" t="inlineStr">
        <is>
          <t>Phase 4 Retest</t>
        </is>
      </c>
    </row>
    <row r="2">
      <c r="A2" s="2" t="inlineStr">
        <is>
          <t>US-001</t>
        </is>
      </c>
      <c r="B2" s="3" t="inlineStr">
        <is>
          <t>Research MCP</t>
        </is>
      </c>
      <c r="C2" s="2" t="inlineStr">
        <is>
          <t>Create research job</t>
        </is>
      </c>
      <c r="D2" s="2" t="inlineStr">
        <is>
          <t>mcp_server.create_research_job</t>
        </is>
      </c>
      <c r="E2" s="2" t="inlineStr">
        <is>
          <t>As an AI host, I give Oyster a plain-language brief so it returns a structured research plan and a persisted job.</t>
        </is>
      </c>
      <c r="F2" s="2" t="inlineStr">
        <is>
          <t>build_plan() runs; a research_jobs row is created; returns {job_id, created_at, plan} with questions, entities, query families, recommended sources, clarifications.</t>
        </is>
      </c>
      <c r="G2" s="2" t="inlineStr">
        <is>
          <t>create_research_job(brief, decision, market, time_horizon, audience, deliverable, required_sources, exclusions)</t>
        </is>
      </c>
      <c r="H2" s="2" t="inlineStr">
        <is>
          <t>Brief under 12 chars raises 'enough detail'. Non-gaming brief must NOT pull twitch/kick.</t>
        </is>
      </c>
      <c r="I2" s="2" t="inlineStr">
        <is>
          <t>Documented</t>
        </is>
      </c>
      <c r="J2" s="13" t="inlineStr">
        <is>
          <t>PASS</t>
        </is>
      </c>
      <c r="K2" s="2" t="inlineStr"/>
      <c r="L2" s="2" t="inlineStr"/>
      <c r="M2" s="13" t="inlineStr">
        <is>
          <t>PASS (re-verified green)</t>
        </is>
      </c>
    </row>
    <row r="3">
      <c r="A3" s="2" t="inlineStr">
        <is>
          <t>US-002</t>
        </is>
      </c>
      <c r="B3" s="3" t="inlineStr">
        <is>
          <t>Research MCP</t>
        </is>
      </c>
      <c r="C3" s="2" t="inlineStr">
        <is>
          <t>Add evidence</t>
        </is>
      </c>
      <c r="D3" s="2" t="inlineStr">
        <is>
          <t>mcp_server.add_evidence</t>
        </is>
      </c>
      <c r="E3" s="2" t="inlineStr">
        <is>
          <t>As a host, I store a finding with provenance so it appears in the dossier.</t>
        </is>
      </c>
      <c r="F3" s="2" t="inlineStr">
        <is>
          <t>Inserts research_evidence with content_hash dedup; published_at parsed from ISO; returns {evidence_id, collected_at}.</t>
        </is>
      </c>
      <c r="G3" s="2" t="inlineStr">
        <is>
          <t>add_evidence(job_id, source_type, url, title, excerpt, author, published_at, query, metadata)</t>
        </is>
      </c>
      <c r="H3" s="2" t="inlineStr">
        <is>
          <t>Duplicate (job_id, source_type, url, excerpt) updates collected_at, no dup row. Bad ISO published_at raises.</t>
        </is>
      </c>
      <c r="I3" s="2" t="inlineStr">
        <is>
          <t>Documented</t>
        </is>
      </c>
      <c r="J3" s="13" t="inlineStr">
        <is>
          <t>PASS</t>
        </is>
      </c>
      <c r="K3" s="2" t="inlineStr"/>
      <c r="L3" s="2" t="inlineStr"/>
      <c r="M3" s="13" t="inlineStr">
        <is>
          <t>PASS (re-verified green)</t>
        </is>
      </c>
    </row>
    <row r="4">
      <c r="A4" s="2" t="inlineStr">
        <is>
          <t>US-003</t>
        </is>
      </c>
      <c r="B4" s="3" t="inlineStr">
        <is>
          <t>Research MCP</t>
        </is>
      </c>
      <c r="C4" s="2" t="inlineStr">
        <is>
          <t>Fetch RSS</t>
        </is>
      </c>
      <c r="D4" s="2" t="inlineStr">
        <is>
          <t>mcp_server.fetch_rss</t>
        </is>
      </c>
      <c r="E4" s="2" t="inlineStr">
        <is>
          <t>As a host, I collect matching entries from a public feed.</t>
        </is>
      </c>
      <c r="F4" s="2" t="inlineStr">
        <is>
          <t>Fetches feed, stores entries matching any query term as source_type=rss, logs raw payload; returns {feed_url, matched, items, raw_response_id}.</t>
        </is>
      </c>
      <c r="G4" s="2" t="inlineStr">
        <is>
          <t>fetch_rss(job_id, feed_url, query_terms, limit)</t>
        </is>
      </c>
      <c r="H4" s="2" t="inlineStr">
        <is>
          <t>Non-public/redirect-to-private URL rejected. Empty query_terms stores all. feedparser.parse used.</t>
        </is>
      </c>
      <c r="I4" s="2" t="inlineStr">
        <is>
          <t>Documented</t>
        </is>
      </c>
      <c r="J4" s="13" t="inlineStr">
        <is>
          <t>PASS</t>
        </is>
      </c>
      <c r="K4" s="15" t="inlineStr">
        <is>
          <t>F4 (data quality, found in live Spider-Man run): feed summaries with HTML (e.g. Google News) were stored as raw &lt;a&gt; markup instead of readable text.</t>
        </is>
      </c>
      <c r="L4" s="2" t="inlineStr">
        <is>
          <t>Added _plain_text() to strip tags + unescape entities; applied to RSS title/excerpt/author.</t>
        </is>
      </c>
      <c r="M4" s="13" t="inlineStr">
        <is>
          <t>PASS (live re-run shows clean headlines; test_feed_html_is_reduced_to_readable_text)</t>
        </is>
      </c>
    </row>
    <row r="5">
      <c r="A5" s="2" t="inlineStr">
        <is>
          <t>US-004</t>
        </is>
      </c>
      <c r="B5" s="3" t="inlineStr">
        <is>
          <t>Research MCP</t>
        </is>
      </c>
      <c r="C5" s="2" t="inlineStr">
        <is>
          <t>Search X</t>
        </is>
      </c>
      <c r="D5" s="2" t="inlineStr">
        <is>
          <t>mcp_server.search_x</t>
        </is>
      </c>
      <c r="E5" s="2" t="inlineStr">
        <is>
          <t>As a host, I search recent X posts via official API.</t>
        </is>
      </c>
      <c r="F5" s="2" t="inlineStr">
        <is>
          <t>With bearer token, queries X recent search, stores posts as source_type=x; without token returns not_configured with fallbacks.</t>
        </is>
      </c>
      <c r="G5" s="2" t="inlineStr">
        <is>
          <t>search_x(job_id, query, max_results)</t>
        </is>
      </c>
      <c r="H5" s="2" t="inlineStr">
        <is>
          <t>No token -&gt; {not_configured:true, connector:x_official, fallbacks:[...]}, not an error.</t>
        </is>
      </c>
      <c r="I5" s="2" t="inlineStr">
        <is>
          <t>Documented</t>
        </is>
      </c>
      <c r="J5" s="13" t="inlineStr">
        <is>
          <t>PASS</t>
        </is>
      </c>
      <c r="K5" s="2" t="inlineStr"/>
      <c r="L5" s="2" t="inlineStr"/>
      <c r="M5" s="13" t="inlineStr">
        <is>
          <t>PASS (re-verified green)</t>
        </is>
      </c>
    </row>
    <row r="6">
      <c r="A6" s="2" t="inlineStr">
        <is>
          <t>US-005</t>
        </is>
      </c>
      <c r="B6" s="3" t="inlineStr">
        <is>
          <t>Research MCP</t>
        </is>
      </c>
      <c r="C6" s="2" t="inlineStr">
        <is>
          <t>Inspect Discord invite</t>
        </is>
      </c>
      <c r="D6" s="2" t="inlineStr">
        <is>
          <t>mcp_server.inspect_discord_invite</t>
        </is>
      </c>
      <c r="E6" s="2" t="inlineStr">
        <is>
          <t>As a host, I capture public metadata for a Discord invite.</t>
        </is>
      </c>
      <c r="F6" s="2" t="inlineStr">
        <is>
          <t>Resolves invite code, GETs invite with counts, stores guild name/member/presence as source_type=discord.</t>
        </is>
      </c>
      <c r="G6" s="2" t="inlineStr">
        <is>
          <t>inspect_discord_invite(job_id, invite_url_or_code)</t>
        </is>
      </c>
      <c r="H6" s="2" t="inlineStr">
        <is>
          <t>Bad code raises 'invite code or ... URL'. 404 raises 'invalid or expired'.</t>
        </is>
      </c>
      <c r="I6" s="2" t="inlineStr">
        <is>
          <t>Documented</t>
        </is>
      </c>
      <c r="J6" s="13" t="inlineStr">
        <is>
          <t>PASS</t>
        </is>
      </c>
      <c r="K6" s="2" t="inlineStr"/>
      <c r="L6" s="2" t="inlineStr"/>
      <c r="M6" s="13" t="inlineStr">
        <is>
          <t>PASS (re-verified green)</t>
        </is>
      </c>
    </row>
    <row r="7">
      <c r="A7" s="2" t="inlineStr">
        <is>
          <t>US-006</t>
        </is>
      </c>
      <c r="B7" s="3" t="inlineStr">
        <is>
          <t>Research MCP</t>
        </is>
      </c>
      <c r="C7" s="2" t="inlineStr">
        <is>
          <t>Run Apify actor</t>
        </is>
      </c>
      <c r="D7" s="2" t="inlineStr">
        <is>
          <t>mcp_server.run_apify_actor</t>
        </is>
      </c>
      <c r="E7" s="2" t="inlineStr">
        <is>
          <t>As a host, I run a chosen Apify Actor for Reddit/X/other sources.</t>
        </is>
      </c>
      <c r="F7" s="2" t="inlineStr">
        <is>
          <t>With token, runs actor run-sync-get-dataset-items, stores rows; without token returns not_configured.</t>
        </is>
      </c>
      <c r="G7" s="2" t="inlineStr">
        <is>
          <t>run_apify_actor(job_id, actor_id, actor_input, source_type, limit)</t>
        </is>
      </c>
      <c r="H7" s="2" t="inlineStr">
        <is>
          <t>No token -&gt; not_configured(apify). Empty actor_id raises 'Choose an Apify Actor ID'.</t>
        </is>
      </c>
      <c r="I7" s="2" t="inlineStr">
        <is>
          <t>Documented</t>
        </is>
      </c>
      <c r="J7" s="13" t="inlineStr">
        <is>
          <t>PASS</t>
        </is>
      </c>
      <c r="K7" s="2" t="inlineStr"/>
      <c r="L7" s="2" t="inlineStr"/>
      <c r="M7" s="13" t="inlineStr">
        <is>
          <t>PASS (re-verified green)</t>
        </is>
      </c>
    </row>
    <row r="8">
      <c r="A8" s="2" t="inlineStr">
        <is>
          <t>US-007</t>
        </is>
      </c>
      <c r="B8" s="3" t="inlineStr">
        <is>
          <t>Research MCP</t>
        </is>
      </c>
      <c r="C8" s="2" t="inlineStr">
        <is>
          <t>Search Twitch</t>
        </is>
      </c>
      <c r="D8" s="2" t="inlineStr">
        <is>
          <t>mcp_server.search_twitch</t>
        </is>
      </c>
      <c r="E8" s="2" t="inlineStr">
        <is>
          <t>As a host, I search arbitrary Twitch channels/topics.</t>
        </is>
      </c>
      <c r="F8" s="2" t="inlineStr">
        <is>
          <t>With client id+secret, OAuth then search/channels, stores results; without creds returns not_configured(twitch).</t>
        </is>
      </c>
      <c r="G8" s="2" t="inlineStr">
        <is>
          <t>search_twitch(job_id, query, limit)</t>
        </is>
      </c>
      <c r="H8" s="2" t="inlineStr">
        <is>
          <t>No creds -&gt; not_configured with fallbacks (apify/crawl/capture). OAuth token logged as oauth_token (redacted).</t>
        </is>
      </c>
      <c r="I8" s="2" t="inlineStr">
        <is>
          <t>Documented</t>
        </is>
      </c>
      <c r="J8" s="13" t="inlineStr">
        <is>
          <t>PASS</t>
        </is>
      </c>
      <c r="K8" s="2" t="inlineStr"/>
      <c r="L8" s="2" t="inlineStr"/>
      <c r="M8" s="13" t="inlineStr">
        <is>
          <t>PASS (re-verified green)</t>
        </is>
      </c>
    </row>
    <row r="9">
      <c r="A9" s="2" t="inlineStr">
        <is>
          <t>US-008</t>
        </is>
      </c>
      <c r="B9" s="3" t="inlineStr">
        <is>
          <t>Research MCP</t>
        </is>
      </c>
      <c r="C9" s="2" t="inlineStr">
        <is>
          <t>Search Kick</t>
        </is>
      </c>
      <c r="D9" s="2" t="inlineStr">
        <is>
          <t>mcp_server.search_kick</t>
        </is>
      </c>
      <c r="E9" s="2" t="inlineStr">
        <is>
          <t>As a host, I search current Kick streams.</t>
        </is>
      </c>
      <c r="F9" s="2" t="inlineStr">
        <is>
          <t>With creds, OAuth then paginate livestreams filtered by query; without creds returns not_configured(kick).</t>
        </is>
      </c>
      <c r="G9" s="2" t="inlineStr">
        <is>
          <t>search_kick(job_id, query, pages)</t>
        </is>
      </c>
      <c r="H9" s="2" t="inlineStr">
        <is>
          <t>No creds -&gt; not_configured. Token redacted.</t>
        </is>
      </c>
      <c r="I9" s="2" t="inlineStr">
        <is>
          <t>Documented</t>
        </is>
      </c>
      <c r="J9" s="13" t="inlineStr">
        <is>
          <t>PASS</t>
        </is>
      </c>
      <c r="K9" s="2" t="inlineStr"/>
      <c r="L9" s="2" t="inlineStr"/>
      <c r="M9" s="13" t="inlineStr">
        <is>
          <t>PASS (re-verified green)</t>
        </is>
      </c>
    </row>
    <row r="10">
      <c r="A10" s="2" t="inlineStr">
        <is>
          <t>US-009</t>
        </is>
      </c>
      <c r="B10" s="3" t="inlineStr">
        <is>
          <t>Research MCP</t>
        </is>
      </c>
      <c r="C10" s="2" t="inlineStr">
        <is>
          <t>Read Discord channel</t>
        </is>
      </c>
      <c r="D10" s="2" t="inlineStr">
        <is>
          <t>mcp_server.read_discord_channel</t>
        </is>
      </c>
      <c r="E10" s="2" t="inlineStr">
        <is>
          <t>As a host, I read messages from a channel the bot can access.</t>
        </is>
      </c>
      <c r="F10" s="2" t="inlineStr">
        <is>
          <t>With bot token, reads channel + messages, stores non-empty messages as source_type=discord_message; without token not_configured.</t>
        </is>
      </c>
      <c r="G10" s="2" t="inlineStr">
        <is>
          <t>read_discord_channel(job_id, channel_id, limit)</t>
        </is>
      </c>
      <c r="H10" s="2" t="inlineStr">
        <is>
          <t>No token -&gt; not_configured(discord_messages). 403 raises grant-permission guidance.</t>
        </is>
      </c>
      <c r="I10" s="2" t="inlineStr">
        <is>
          <t>Documented</t>
        </is>
      </c>
      <c r="J10" s="13" t="inlineStr">
        <is>
          <t>PASS</t>
        </is>
      </c>
      <c r="K10" s="2" t="inlineStr"/>
      <c r="L10" s="2" t="inlineStr"/>
      <c r="M10" s="13" t="inlineStr">
        <is>
          <t>PASS (re-verified green)</t>
        </is>
      </c>
    </row>
    <row r="11">
      <c r="A11" s="2" t="inlineStr">
        <is>
          <t>US-010</t>
        </is>
      </c>
      <c r="B11" s="3" t="inlineStr">
        <is>
          <t>Research MCP</t>
        </is>
      </c>
      <c r="C11" s="2" t="inlineStr">
        <is>
          <t>Crawl web page</t>
        </is>
      </c>
      <c r="D11" s="2" t="inlineStr">
        <is>
          <t>mcp_server.crawl_web_page</t>
        </is>
      </c>
      <c r="E11" s="2" t="inlineStr">
        <is>
          <t>As a host, I extract readable text + links from a public page.</t>
        </is>
      </c>
      <c r="F11" s="2" t="inlineStr">
        <is>
          <t>Validates public URL, fetches via Scrapling, stores text + up to 100 links as source_type=web, logs raw payload.</t>
        </is>
      </c>
      <c r="G11" s="2" t="inlineStr">
        <is>
          <t>crawl_web_page(job_id, url, query)</t>
        </is>
      </c>
      <c r="H11" s="2" t="inlineStr">
        <is>
          <t>Private/local/reserved targets rejected (SSRF). HTTP&gt;=400 raises. No extractable text raises with fallback hint.</t>
        </is>
      </c>
      <c r="I11" s="2" t="inlineStr">
        <is>
          <t>Documented</t>
        </is>
      </c>
      <c r="J11" s="13" t="inlineStr">
        <is>
          <t>PASS</t>
        </is>
      </c>
      <c r="K11" s="2" t="inlineStr"/>
      <c r="L11" s="2" t="inlineStr"/>
      <c r="M11" s="13" t="inlineStr">
        <is>
          <t>PASS (re-verified green)</t>
        </is>
      </c>
    </row>
    <row r="12">
      <c r="A12" s="2" t="inlineStr">
        <is>
          <t>US-011</t>
        </is>
      </c>
      <c r="B12" s="3" t="inlineStr">
        <is>
          <t>Research MCP</t>
        </is>
      </c>
      <c r="C12" s="2" t="inlineStr">
        <is>
          <t>Get dossier</t>
        </is>
      </c>
      <c r="D12" s="2" t="inlineStr">
        <is>
          <t>mcp_server.get_research_dossier</t>
        </is>
      </c>
      <c r="E12" s="2" t="inlineStr">
        <is>
          <t>As a host, I retrieve a job's evidence grouped with coverage and gaps.</t>
        </is>
      </c>
      <c r="F12" s="2" t="inlineStr">
        <is>
          <t>Returns {job, evidence[], coverage{source:count}, gaps[]}; gaps = recommended sources with zero evidence.</t>
        </is>
      </c>
      <c r="G12" s="2" t="inlineStr">
        <is>
          <t>get_research_dossier(job_id)</t>
        </is>
      </c>
      <c r="H12" s="2" t="inlineStr">
        <is>
          <t>Unknown job_id raises 'was not found'. content_hash stripped from output.</t>
        </is>
      </c>
      <c r="I12" s="2" t="inlineStr">
        <is>
          <t>Documented</t>
        </is>
      </c>
      <c r="J12" s="13" t="inlineStr">
        <is>
          <t>PASS</t>
        </is>
      </c>
      <c r="K12" s="2" t="inlineStr"/>
      <c r="L12" s="2" t="inlineStr"/>
      <c r="M12" s="13" t="inlineStr">
        <is>
          <t>PASS (re-verified green)</t>
        </is>
      </c>
    </row>
    <row r="13">
      <c r="A13" s="2" t="inlineStr">
        <is>
          <t>US-012</t>
        </is>
      </c>
      <c r="B13" s="3" t="inlineStr">
        <is>
          <t>Research MCP</t>
        </is>
      </c>
      <c r="C13" s="2" t="inlineStr">
        <is>
          <t>List jobs</t>
        </is>
      </c>
      <c r="D13" s="2" t="inlineStr">
        <is>
          <t>mcp_server.list_research_jobs</t>
        </is>
      </c>
      <c r="E13" s="2" t="inlineStr">
        <is>
          <t>As a host, I list recent jobs to resume prior work.</t>
        </is>
      </c>
      <c r="F13" s="2" t="inlineStr">
        <is>
          <t>Returns up to N recent jobs (id, brief, decision, status, timestamps) ordered by updated_at desc.</t>
        </is>
      </c>
      <c r="G13" s="2" t="inlineStr">
        <is>
          <t>list_research_jobs(limit)</t>
        </is>
      </c>
      <c r="H13" s="2" t="inlineStr">
        <is>
          <t>limit clamped 1..100.</t>
        </is>
      </c>
      <c r="I13" s="2" t="inlineStr">
        <is>
          <t>Documented</t>
        </is>
      </c>
      <c r="J13" s="13" t="inlineStr">
        <is>
          <t>PASS</t>
        </is>
      </c>
      <c r="K13" s="2" t="inlineStr"/>
      <c r="L13" s="2" t="inlineStr"/>
      <c r="M13" s="13" t="inlineStr">
        <is>
          <t>PASS (re-verified green)</t>
        </is>
      </c>
    </row>
    <row r="14">
      <c r="A14" s="2" t="inlineStr">
        <is>
          <t>US-013</t>
        </is>
      </c>
      <c r="B14" s="3" t="inlineStr">
        <is>
          <t>Research MCP</t>
        </is>
      </c>
      <c r="C14" s="2" t="inlineStr">
        <is>
          <t>Connector status</t>
        </is>
      </c>
      <c r="D14" s="2" t="inlineStr">
        <is>
          <t>mcp_server.connector_status</t>
        </is>
      </c>
      <c r="E14" s="2" t="inlineStr">
        <is>
          <t>As a host, I check which connectors are ready and how to set up or fall back.</t>
        </is>
      </c>
      <c r="F14" s="2" t="inlineStr">
        <is>
          <t>Returns per-connector {ready, setup, fallbacks/scope...} derived from CONNECTOR_GUIDES + READY_CHECKS.</t>
        </is>
      </c>
      <c r="G14" s="2" t="inlineStr">
        <is>
          <t>connector_status()</t>
        </is>
      </c>
      <c r="H14" s="2" t="inlineStr">
        <is>
          <t>Never returns secret values. twitch/kick/apify/discord_messages all include fallbacks.</t>
        </is>
      </c>
      <c r="I14" s="2" t="inlineStr">
        <is>
          <t>Documented</t>
        </is>
      </c>
      <c r="J14" s="13" t="inlineStr">
        <is>
          <t>PASS</t>
        </is>
      </c>
      <c r="K14" s="2" t="inlineStr"/>
      <c r="L14" s="2" t="inlineStr"/>
      <c r="M14" s="13" t="inlineStr">
        <is>
          <t>PASS (re-verified green)</t>
        </is>
      </c>
    </row>
    <row r="15">
      <c r="A15" s="2" t="inlineStr">
        <is>
          <t>US-014</t>
        </is>
      </c>
      <c r="B15" s="3" t="inlineStr">
        <is>
          <t>Research MCP</t>
        </is>
      </c>
      <c r="C15" s="2" t="inlineStr">
        <is>
          <t>Export research report</t>
        </is>
      </c>
      <c r="D15" s="2" t="inlineStr">
        <is>
          <t>mcp_server.export_research_report</t>
        </is>
      </c>
      <c r="E15" s="2" t="inlineStr">
        <is>
          <t>As a host, I export a job to a folder of files.</t>
        </is>
      </c>
      <c r="F15" s="2" t="inlineStr">
        <is>
          <t>Writes report.md/html, evidence.json/csv, raw_responses.jsonl to output/research-job-&lt;id&gt;-&lt;slug&gt;/; returns {folder, files, evidence_count, raw_count}.</t>
        </is>
      </c>
      <c r="G15" s="2" t="inlineStr">
        <is>
          <t>export_research_report(job_id)</t>
        </is>
      </c>
      <c r="H15" s="2" t="inlineStr">
        <is>
          <t>Pipes in cells escaped; CSV formula-injection guarded; output_dir anchored to project root.</t>
        </is>
      </c>
      <c r="I15" s="2" t="inlineStr">
        <is>
          <t>Documented</t>
        </is>
      </c>
      <c r="J15" s="13" t="inlineStr">
        <is>
          <t>PASS</t>
        </is>
      </c>
      <c r="K15" s="2" t="inlineStr"/>
      <c r="L15" s="2" t="inlineStr"/>
      <c r="M15" s="13" t="inlineStr">
        <is>
          <t>PASS (re-verified green)</t>
        </is>
      </c>
    </row>
    <row r="16">
      <c r="A16" s="2" t="inlineStr">
        <is>
          <t>US-015</t>
        </is>
      </c>
      <c r="B16" s="3" t="inlineStr">
        <is>
          <t>Research MCP</t>
        </is>
      </c>
      <c r="C16" s="2" t="inlineStr">
        <is>
          <t>Browser capture mission</t>
        </is>
      </c>
      <c r="D16" s="2" t="inlineStr">
        <is>
          <t>mcp_server.get_browser_capture_mission</t>
        </is>
      </c>
      <c r="E16" s="2" t="inlineStr">
        <is>
          <t>As a host, I turn a brief into browser-capture terms/questions.</t>
        </is>
      </c>
      <c r="F16" s="2" t="inlineStr">
        <is>
          <t>Returns {job_id, brief, research_questions, look_for terms, exclusions, instructions} for the active job.</t>
        </is>
      </c>
      <c r="G16" s="2" t="inlineStr">
        <is>
          <t>get_browser_capture_mission(job_id)</t>
        </is>
      </c>
      <c r="H16" s="2" t="inlineStr">
        <is>
          <t>Only active jobs; unknown/inactive job raises 'was not found'.</t>
        </is>
      </c>
      <c r="I16" s="2" t="inlineStr">
        <is>
          <t>Documented</t>
        </is>
      </c>
      <c r="J16" s="13" t="inlineStr">
        <is>
          <t>PASS</t>
        </is>
      </c>
      <c r="K16" s="2" t="inlineStr"/>
      <c r="L16" s="2" t="inlineStr"/>
      <c r="M16" s="13" t="inlineStr">
        <is>
          <t>PASS (re-verified green)</t>
        </is>
      </c>
    </row>
    <row r="17">
      <c r="A17" s="2" t="inlineStr">
        <is>
          <t>US-016</t>
        </is>
      </c>
      <c r="B17" s="3" t="inlineStr">
        <is>
          <t>Research MCP</t>
        </is>
      </c>
      <c r="C17" s="2" t="inlineStr">
        <is>
          <t>Request traffic session</t>
        </is>
      </c>
      <c r="D17" s="2" t="inlineStr">
        <is>
          <t>mcp_server.request_browser_traffic_session</t>
        </is>
      </c>
      <c r="E17" s="2" t="inlineStr">
        <is>
          <t>As a host, I ask the researcher to approve a domain-scoped traffic capture session.</t>
        </is>
      </c>
      <c r="F17" s="2" t="inlineStr">
        <is>
          <t>Creates a 'requested' capture_sessions row and returns it plus human instructions to approve+poll.</t>
        </is>
      </c>
      <c r="G17" s="2" t="inlineStr">
        <is>
          <t>request_browser_traffic_session(job_id, domain, reason)</t>
        </is>
      </c>
      <c r="H17" s="2" t="inlineStr">
        <is>
          <t>Domain normalized (no scheme/port/path/IP/localhost). Duplicate live session rejected. Inactive job rejected.</t>
        </is>
      </c>
      <c r="I17" s="2" t="inlineStr">
        <is>
          <t>Documented</t>
        </is>
      </c>
      <c r="J17" s="13" t="inlineStr">
        <is>
          <t>PASS</t>
        </is>
      </c>
      <c r="K17" s="2" t="inlineStr"/>
      <c r="L17" s="2" t="inlineStr"/>
      <c r="M17" s="13" t="inlineStr">
        <is>
          <t>PASS (re-verified green)</t>
        </is>
      </c>
    </row>
    <row r="18">
      <c r="A18" s="2" t="inlineStr">
        <is>
          <t>US-017</t>
        </is>
      </c>
      <c r="B18" s="3" t="inlineStr">
        <is>
          <t>Research MCP</t>
        </is>
      </c>
      <c r="C18" s="2" t="inlineStr">
        <is>
          <t>Poll traffic session</t>
        </is>
      </c>
      <c r="D18" s="2" t="inlineStr">
        <is>
          <t>mcp_server.get_browser_traffic_session</t>
        </is>
      </c>
      <c r="E18" s="2" t="inlineStr">
        <is>
          <t>As a host, I poll whether a session request was approved.</t>
        </is>
      </c>
      <c r="F18" s="2" t="inlineStr">
        <is>
          <t>Returns the session row with current status (requested/approved/declined/stopped/expired).</t>
        </is>
      </c>
      <c r="G18" s="2" t="inlineStr">
        <is>
          <t>get_browser_traffic_session(session_id)</t>
        </is>
      </c>
      <c r="H18" s="2" t="inlineStr">
        <is>
          <t>Unknown session raises 'was not found'. Expired requests flip to expired.</t>
        </is>
      </c>
      <c r="I18" s="2" t="inlineStr">
        <is>
          <t>Documented</t>
        </is>
      </c>
      <c r="J18" s="13" t="inlineStr">
        <is>
          <t>PASS</t>
        </is>
      </c>
      <c r="K18" s="2" t="inlineStr"/>
      <c r="L18" s="2" t="inlineStr"/>
      <c r="M18" s="13" t="inlineStr">
        <is>
          <t>PASS (re-verified green)</t>
        </is>
      </c>
    </row>
    <row r="19">
      <c r="A19" s="2" t="inlineStr">
        <is>
          <t>US-018</t>
        </is>
      </c>
      <c r="B19" s="3" t="inlineStr">
        <is>
          <t>Research MCP</t>
        </is>
      </c>
      <c r="C19" s="2" t="inlineStr">
        <is>
          <t>Assignment prompt</t>
        </is>
      </c>
      <c r="D19" s="2" t="inlineStr">
        <is>
          <t>mcp_server.research_assignment</t>
        </is>
      </c>
      <c r="E19" s="2" t="inlineStr">
        <is>
          <t>As a host, I load a reusable workflow prompt for a research assignment.</t>
        </is>
      </c>
      <c r="F19" s="2" t="inlineStr">
        <is>
          <t>Returns a numbered workflow: create job, connector_status, try fallbacks on not_configured, never dead-end, export at end, cite.</t>
        </is>
      </c>
      <c r="G19" s="2" t="inlineStr">
        <is>
          <t>research_assignment(brief, decision) [MCP prompt]</t>
        </is>
      </c>
      <c r="H19" s="2" t="inlineStr">
        <is>
          <t>Prompt must mention not_configured fallbacks and export_research_report.</t>
        </is>
      </c>
      <c r="I19" s="2" t="inlineStr">
        <is>
          <t>Documented</t>
        </is>
      </c>
      <c r="J19" s="13" t="inlineStr">
        <is>
          <t>PASS</t>
        </is>
      </c>
      <c r="K19" s="2" t="inlineStr"/>
      <c r="L19" s="2" t="inlineStr"/>
      <c r="M19" s="13" t="inlineStr">
        <is>
          <t>PASS (re-verified green)</t>
        </is>
      </c>
    </row>
    <row r="20">
      <c r="A20" s="2" t="inlineStr">
        <is>
          <t>US-019</t>
        </is>
      </c>
      <c r="B20" s="4" t="inlineStr">
        <is>
          <t>Planner</t>
        </is>
      </c>
      <c r="C20" s="2" t="inlineStr">
        <is>
          <t>Plan any brief</t>
        </is>
      </c>
      <c r="D20" s="2" t="inlineStr">
        <is>
          <t>planner.build_plan</t>
        </is>
      </c>
      <c r="E20" s="2" t="inlineStr">
        <is>
          <t>As a host, I get a source-agnostic plan from a brief.</t>
        </is>
      </c>
      <c r="F20" s="2" t="inlineStr">
        <is>
          <t>Returns objective, decision, market, audience, deliverable, entities, research_questions, query_families, recommended_sources, source_queries, clarifications, exclusions.</t>
        </is>
      </c>
      <c r="G20" s="2" t="inlineStr">
        <is>
          <t>build_plan(brief, decision, market, time_horizon, audience, deliverable, required_sources, exclusions)</t>
        </is>
      </c>
      <c r="H20" s="2" t="inlineStr">
        <is>
          <t>Commercial briefs add a creative-territories question. Gaming briefs add twitch/kick/discord. required_sources lead. Too-short brief raises.</t>
        </is>
      </c>
      <c r="I20" s="2" t="inlineStr">
        <is>
          <t>Documented</t>
        </is>
      </c>
      <c r="J20" s="13" t="inlineStr">
        <is>
          <t>PASS</t>
        </is>
      </c>
      <c r="K20" s="2" t="inlineStr"/>
      <c r="L20" s="2" t="inlineStr"/>
      <c r="M20" s="13" t="inlineStr">
        <is>
          <t>PASS (re-verified green)</t>
        </is>
      </c>
    </row>
    <row r="21">
      <c r="A21" s="2" t="inlineStr">
        <is>
          <t>US-020</t>
        </is>
      </c>
      <c r="B21" s="5" t="inlineStr">
        <is>
          <t>Store</t>
        </is>
      </c>
      <c r="C21" s="2" t="inlineStr">
        <is>
          <t>Evidence dedup</t>
        </is>
      </c>
      <c r="D21" s="2" t="inlineStr">
        <is>
          <t>store.add_evidence</t>
        </is>
      </c>
      <c r="E21" s="2" t="inlineStr">
        <is>
          <t>As a host, repeated identical findings do not create duplicate evidence.</t>
        </is>
      </c>
      <c r="F21" s="2" t="inlineStr">
        <is>
          <t>content_hash=sha256(source_type,url,excerpt); ON CONFLICT (job_id,content_hash) updates collected_at.</t>
        </is>
      </c>
      <c r="G21" s="2" t="inlineStr">
        <is>
          <t>store.add_evidence(...)</t>
        </is>
      </c>
      <c r="H21" s="2" t="inlineStr">
        <is>
          <t>Same content -&gt; one row, collected_at refreshed.</t>
        </is>
      </c>
      <c r="I21" s="2" t="inlineStr">
        <is>
          <t>Documented</t>
        </is>
      </c>
      <c r="J21" s="13" t="inlineStr">
        <is>
          <t>PASS</t>
        </is>
      </c>
      <c r="K21" s="2" t="inlineStr"/>
      <c r="L21" s="2" t="inlineStr"/>
      <c r="M21" s="13" t="inlineStr">
        <is>
          <t>PASS (re-verified green)</t>
        </is>
      </c>
    </row>
    <row r="22">
      <c r="A22" s="2" t="inlineStr">
        <is>
          <t>US-021</t>
        </is>
      </c>
      <c r="B22" s="5" t="inlineStr">
        <is>
          <t>Store</t>
        </is>
      </c>
      <c r="C22" s="2" t="inlineStr">
        <is>
          <t>Dossier coverage &amp; gaps</t>
        </is>
      </c>
      <c r="D22" s="2" t="inlineStr">
        <is>
          <t>store.dossier</t>
        </is>
      </c>
      <c r="E22" s="2" t="inlineStr">
        <is>
          <t>As a host, I see per-source counts and which recommended sources are still empty.</t>
        </is>
      </c>
      <c r="F22" s="2" t="inlineStr">
        <is>
          <t>coverage counts by source_type; gaps = plan.recommended_sources with no evidence.</t>
        </is>
      </c>
      <c r="G22" s="2" t="inlineStr">
        <is>
          <t>store.dossier(job_id)</t>
        </is>
      </c>
      <c r="H22" s="2" t="inlineStr">
        <is>
          <t>Datetimes ISO-formatted; content_hash removed.</t>
        </is>
      </c>
      <c r="I22" s="2" t="inlineStr">
        <is>
          <t>Documented</t>
        </is>
      </c>
      <c r="J22" s="13" t="inlineStr">
        <is>
          <t>PASS</t>
        </is>
      </c>
      <c r="K22" s="2" t="inlineStr"/>
      <c r="L22" s="2" t="inlineStr"/>
      <c r="M22" s="13" t="inlineStr">
        <is>
          <t>PASS (re-verified green)</t>
        </is>
      </c>
    </row>
    <row r="23">
      <c r="A23" s="2" t="inlineStr">
        <is>
          <t>US-022</t>
        </is>
      </c>
      <c r="B23" s="5" t="inlineStr">
        <is>
          <t>Store</t>
        </is>
      </c>
      <c r="C23" s="2" t="inlineStr">
        <is>
          <t>List raw responses</t>
        </is>
      </c>
      <c r="D23" s="2" t="inlineStr">
        <is>
          <t>store.list_raw_responses</t>
        </is>
      </c>
      <c r="E23" s="2" t="inlineStr">
        <is>
          <t>As a host/export, I retrieve the raw HTTP payloads captured for a job.</t>
        </is>
      </c>
      <c r="F23" s="2" t="inlineStr">
        <is>
          <t>Returns raw_responses rows for research_job_id ordered by received_at.</t>
        </is>
      </c>
      <c r="G23" s="2" t="inlineStr">
        <is>
          <t>store.list_raw_responses(job_id)</t>
        </is>
      </c>
      <c r="H23" s="2" t="inlineStr">
        <is>
          <t>Empty list when none captured.</t>
        </is>
      </c>
      <c r="I23" s="2" t="inlineStr">
        <is>
          <t>Documented</t>
        </is>
      </c>
      <c r="J23" s="13" t="inlineStr">
        <is>
          <t>PASS</t>
        </is>
      </c>
      <c r="K23" s="2" t="inlineStr"/>
      <c r="L23" s="2" t="inlineStr"/>
      <c r="M23" s="13" t="inlineStr">
        <is>
          <t>PASS (re-verified green)</t>
        </is>
      </c>
    </row>
    <row r="24">
      <c r="A24" s="2" t="inlineStr">
        <is>
          <t>US-023</t>
        </is>
      </c>
      <c r="B24" s="6" t="inlineStr">
        <is>
          <t>Connectors</t>
        </is>
      </c>
      <c r="C24" s="2" t="inlineStr">
        <is>
          <t>No dead-end fallbacks</t>
        </is>
      </c>
      <c r="D24" s="2" t="inlineStr">
        <is>
          <t>connectors.not_configured</t>
        </is>
      </c>
      <c r="E24" s="2" t="inlineStr">
        <is>
          <t>As a host, an unconfigured connector tells me the next door instead of failing.</t>
        </is>
      </c>
      <c r="F24" s="2" t="inlineStr">
        <is>
          <t>Returns {not_configured:true, connector, error, setup, fallbacks[], next_step}.</t>
        </is>
      </c>
      <c r="G24" s="2" t="inlineStr">
        <is>
          <t>any connector without creds</t>
        </is>
      </c>
      <c r="H24" s="2" t="inlineStr">
        <is>
          <t>Every guide with credentials has &gt;=1 fallback.</t>
        </is>
      </c>
      <c r="I24" s="2" t="inlineStr">
        <is>
          <t>Documented</t>
        </is>
      </c>
      <c r="J24" s="13" t="inlineStr">
        <is>
          <t>PASS</t>
        </is>
      </c>
      <c r="K24" s="2" t="inlineStr"/>
      <c r="L24" s="2" t="inlineStr"/>
      <c r="M24" s="13" t="inlineStr">
        <is>
          <t>PASS (re-verified green)</t>
        </is>
      </c>
    </row>
    <row r="25">
      <c r="A25" s="2" t="inlineStr">
        <is>
          <t>US-024</t>
        </is>
      </c>
      <c r="B25" s="6" t="inlineStr">
        <is>
          <t>Connectors</t>
        </is>
      </c>
      <c r="C25" s="2" t="inlineStr">
        <is>
          <t>SSRF URL validation</t>
        </is>
      </c>
      <c r="D25" s="2" t="inlineStr">
        <is>
          <t>connectors._validate_public_url</t>
        </is>
      </c>
      <c r="E25" s="2" t="inlineStr">
        <is>
          <t>As an operator, private/local/reserved targets cannot be crawled.</t>
        </is>
      </c>
      <c r="F25" s="2" t="inlineStr">
        <is>
          <t>Rejects non-http(s), unresolvable, and non-global IPs; revalidates final URL after redirect.</t>
        </is>
      </c>
      <c r="G25" s="2" t="inlineStr">
        <is>
          <t>crawl_web_page / fetch_rss</t>
        </is>
      </c>
      <c r="H25" s="2" t="inlineStr">
        <is>
          <t>localhost/127.0.0.1/file:// rejected.</t>
        </is>
      </c>
      <c r="I25" s="2" t="inlineStr">
        <is>
          <t>Documented</t>
        </is>
      </c>
      <c r="J25" s="13" t="inlineStr">
        <is>
          <t>PASS</t>
        </is>
      </c>
      <c r="K25" s="2" t="inlineStr"/>
      <c r="L25" s="2" t="inlineStr"/>
      <c r="M25" s="13" t="inlineStr">
        <is>
          <t>PASS (re-verified green)</t>
        </is>
      </c>
    </row>
    <row r="26">
      <c r="A26" s="2" t="inlineStr">
        <is>
          <t>US-025</t>
        </is>
      </c>
      <c r="B26" s="6" t="inlineStr">
        <is>
          <t>Connectors</t>
        </is>
      </c>
      <c r="C26" s="2" t="inlineStr">
        <is>
          <t>Raw traffic logging</t>
        </is>
      </c>
      <c r="D26" s="2" t="inlineStr">
        <is>
          <t>raw_log.record_raw</t>
        </is>
      </c>
      <c r="E26" s="2" t="inlineStr">
        <is>
          <t>As an operator, connector HTTP payloads are stored redacted for provenance.</t>
        </is>
      </c>
      <c r="F26" s="2" t="inlineStr">
        <is>
          <t>Stores redacted payload in raw_responses keyed by research_job_id; dedups by body_hash; best-effort (never breaks a connector).</t>
        </is>
      </c>
      <c r="G26" s="2" t="inlineStr">
        <is>
          <t>automatic in each connector</t>
        </is>
      </c>
      <c r="H26" s="2" t="inlineStr">
        <is>
          <t>Secrets in URL/headers/oauth body redacted; &gt;2MB truncated with marker.</t>
        </is>
      </c>
      <c r="I26" s="2" t="inlineStr">
        <is>
          <t>Documented</t>
        </is>
      </c>
      <c r="J26" s="13" t="inlineStr">
        <is>
          <t>PASS</t>
        </is>
      </c>
      <c r="K26" s="2" t="inlineStr"/>
      <c r="L26" s="2" t="inlineStr"/>
      <c r="M26" s="13" t="inlineStr">
        <is>
          <t>PASS (re-verified green)</t>
        </is>
      </c>
    </row>
    <row r="27">
      <c r="A27" s="2" t="inlineStr">
        <is>
          <t>US-026</t>
        </is>
      </c>
      <c r="B27" s="7" t="inlineStr">
        <is>
          <t>Export</t>
        </is>
      </c>
      <c r="C27" s="2" t="inlineStr">
        <is>
          <t>Per-job export files</t>
        </is>
      </c>
      <c r="D27" s="2" t="inlineStr">
        <is>
          <t>export.export_job</t>
        </is>
      </c>
      <c r="E27" s="2" t="inlineStr">
        <is>
          <t>As a user, I export a job to shareable files.</t>
        </is>
      </c>
      <c r="F27" s="2" t="inlineStr">
        <is>
          <t>Creates folder with report.md, report.html, evidence.json, evidence.csv, raw_responses.jsonl.</t>
        </is>
      </c>
      <c r="G27" s="2" t="inlineStr">
        <is>
          <t>export_research_report / control center</t>
        </is>
      </c>
      <c r="H27" s="2" t="inlineStr">
        <is>
          <t>Slug from brief; pipes escaped; CSV guards =+-@ cells.</t>
        </is>
      </c>
      <c r="I27" s="2" t="inlineStr">
        <is>
          <t>Documented</t>
        </is>
      </c>
      <c r="J27" s="13" t="inlineStr">
        <is>
          <t>PASS</t>
        </is>
      </c>
      <c r="K27" s="2" t="inlineStr"/>
      <c r="L27" s="2" t="inlineStr">
        <is>
          <t>Added job_folder() helper so 'Open folder' reuses an existing export.</t>
        </is>
      </c>
      <c r="M27" s="13" t="inlineStr">
        <is>
          <t>PASS (re-verified; export files intact)</t>
        </is>
      </c>
    </row>
    <row r="28">
      <c r="A28" s="2" t="inlineStr">
        <is>
          <t>US-027</t>
        </is>
      </c>
      <c r="B28" s="7" t="inlineStr">
        <is>
          <t>Export</t>
        </is>
      </c>
      <c r="C28" s="2" t="inlineStr">
        <is>
          <t>Gaps unlock section</t>
        </is>
      </c>
      <c r="D28" s="2" t="inlineStr">
        <is>
          <t>export._gaps</t>
        </is>
      </c>
      <c r="E28" s="2" t="inlineStr">
        <is>
          <t>As a user, the report tells me how to unlock each empty source.</t>
        </is>
      </c>
      <c r="F28" s="2" t="inlineStr">
        <is>
          <t>For each gap, maps source-&gt;connector guide and lists setup + fallbacks in report.md.</t>
        </is>
      </c>
      <c r="G28" s="2" t="inlineStr">
        <is>
          <t>export output</t>
        </is>
      </c>
      <c r="H28" s="2" t="inlineStr">
        <is>
          <t>rss/web always-ready gaps show scope not creds.</t>
        </is>
      </c>
      <c r="I28" s="2" t="inlineStr">
        <is>
          <t>Documented</t>
        </is>
      </c>
      <c r="J28" s="14" t="inlineStr">
        <is>
          <t>FAIL</t>
        </is>
      </c>
      <c r="K28" s="2" t="inlineStr">
        <is>
          <t>F2 (UX): export gap section renders an empty heading (e.g. '### rss') for always-ready sources that have no setup/fallbacks — reads as a bare, confusing heading.</t>
        </is>
      </c>
      <c r="L28" s="2" t="inlineStr">
        <is>
          <t>Gap section now renders the connector guide's scope for always-ready sources (rss/web) instead of an empty heading.</t>
        </is>
      </c>
      <c r="M28" s="13" t="inlineStr">
        <is>
          <t>PASS (test_always_ready_source_gap_has_guidance_not_empty_heading)</t>
        </is>
      </c>
    </row>
    <row r="29">
      <c r="A29" s="2" t="inlineStr">
        <is>
          <t>US-028</t>
        </is>
      </c>
      <c r="B29" s="8" t="inlineStr">
        <is>
          <t>Capture</t>
        </is>
      </c>
      <c r="C29" s="2" t="inlineStr">
        <is>
          <t>Create pairing code</t>
        </is>
      </c>
      <c r="D29" s="2" t="inlineStr">
        <is>
          <t>capture.create_pairing_code</t>
        </is>
      </c>
      <c r="E29" s="2" t="inlineStr">
        <is>
          <t>As a user, I generate a one-time code to pair the extension.</t>
        </is>
      </c>
      <c r="F29" s="2" t="inlineStr">
        <is>
          <t>Creates a hashed, 10-min single-use code; returns {pairing_code, expires_at}.</t>
        </is>
      </c>
      <c r="G29" s="2" t="inlineStr">
        <is>
          <t>control center 'Create pairing code'</t>
        </is>
      </c>
      <c r="H29" s="2" t="inlineStr">
        <is>
          <t>TTL clamped 1..30 min.</t>
        </is>
      </c>
      <c r="I29" s="2" t="inlineStr">
        <is>
          <t>Documented</t>
        </is>
      </c>
      <c r="J29" s="13" t="inlineStr">
        <is>
          <t>PASS</t>
        </is>
      </c>
      <c r="K29" s="2" t="inlineStr"/>
      <c r="L29" s="2" t="inlineStr"/>
      <c r="M29" s="13" t="inlineStr">
        <is>
          <t>PASS (re-verified green)</t>
        </is>
      </c>
    </row>
    <row r="30">
      <c r="A30" s="2" t="inlineStr">
        <is>
          <t>US-029</t>
        </is>
      </c>
      <c r="B30" s="8" t="inlineStr">
        <is>
          <t>Capture</t>
        </is>
      </c>
      <c r="C30" s="2" t="inlineStr">
        <is>
          <t>Exchange pairing code</t>
        </is>
      </c>
      <c r="D30" s="2" t="inlineStr">
        <is>
          <t>capture.exchange_pairing_code</t>
        </is>
      </c>
      <c r="E30" s="2" t="inlineStr">
        <is>
          <t>As the extension, I trade a code + extension id for a bearer token.</t>
        </is>
      </c>
      <c r="F30" s="2" t="inlineStr">
        <is>
          <t>Single-use code -&gt; stores hashed token bound to extension id; returns {client_id, token, extension_id}.</t>
        </is>
      </c>
      <c r="G30" s="2" t="inlineStr">
        <is>
          <t>extension pairing</t>
        </is>
      </c>
      <c r="H30" s="2" t="inlineStr">
        <is>
          <t>Reused/expired code rejected. Invalid extension id rejected.</t>
        </is>
      </c>
      <c r="I30" s="2" t="inlineStr">
        <is>
          <t>Documented</t>
        </is>
      </c>
      <c r="J30" s="13" t="inlineStr">
        <is>
          <t>PASS</t>
        </is>
      </c>
      <c r="K30" s="2" t="inlineStr"/>
      <c r="L30" s="2" t="inlineStr"/>
      <c r="M30" s="13" t="inlineStr">
        <is>
          <t>PASS (re-verified green)</t>
        </is>
      </c>
    </row>
    <row r="31">
      <c r="A31" s="2" t="inlineStr">
        <is>
          <t>US-030</t>
        </is>
      </c>
      <c r="B31" s="8" t="inlineStr">
        <is>
          <t>Capture</t>
        </is>
      </c>
      <c r="C31" s="2" t="inlineStr">
        <is>
          <t>Authenticate + origin bind</t>
        </is>
      </c>
      <c r="D31" s="2" t="inlineStr">
        <is>
          <t>capture.authenticate</t>
        </is>
      </c>
      <c r="E31" s="2" t="inlineStr">
        <is>
          <t>As the server, I accept only the paired extension origin or local UI.</t>
        </is>
      </c>
      <c r="F31" s="2" t="inlineStr">
        <is>
          <t>Validates token hash (constant-time) and origin allowlist; updates last_used.</t>
        </is>
      </c>
      <c r="G31" s="2" t="inlineStr">
        <is>
          <t>every capture request</t>
        </is>
      </c>
      <c r="H31" s="2" t="inlineStr">
        <is>
          <t>Hostile origin -&gt; PermissionError. Revoked token -&gt; PermissionError.</t>
        </is>
      </c>
      <c r="I31" s="2" t="inlineStr">
        <is>
          <t>Documented</t>
        </is>
      </c>
      <c r="J31" s="13" t="inlineStr">
        <is>
          <t>PASS</t>
        </is>
      </c>
      <c r="K31" s="2" t="inlineStr"/>
      <c r="L31" s="2" t="inlineStr"/>
      <c r="M31" s="13" t="inlineStr">
        <is>
          <t>PASS (re-verified green)</t>
        </is>
      </c>
    </row>
    <row r="32">
      <c r="A32" s="2" t="inlineStr">
        <is>
          <t>US-031</t>
        </is>
      </c>
      <c r="B32" s="8" t="inlineStr">
        <is>
          <t>Capture</t>
        </is>
      </c>
      <c r="C32" s="2" t="inlineStr">
        <is>
          <t>Revoke client</t>
        </is>
      </c>
      <c r="D32" s="2" t="inlineStr">
        <is>
          <t>capture.revoke_client</t>
        </is>
      </c>
      <c r="E32" s="2" t="inlineStr">
        <is>
          <t>As a user, I revoke a paired browser immediately.</t>
        </is>
      </c>
      <c r="F32" s="2" t="inlineStr">
        <is>
          <t>Sets revoked_at; subsequent auth and submissions fail.</t>
        </is>
      </c>
      <c r="G32" s="2" t="inlineStr">
        <is>
          <t>POST /api/capture/revoke</t>
        </is>
      </c>
      <c r="H32" s="2" t="inlineStr">
        <is>
          <t>Double revoke raises 'not found or already revoked'.</t>
        </is>
      </c>
      <c r="I32" s="2" t="inlineStr">
        <is>
          <t>Documented</t>
        </is>
      </c>
      <c r="J32" s="13" t="inlineStr">
        <is>
          <t>PASS</t>
        </is>
      </c>
      <c r="K32" s="2" t="inlineStr"/>
      <c r="L32" s="2" t="inlineStr"/>
      <c r="M32" s="13" t="inlineStr">
        <is>
          <t>PASS (re-verified green)</t>
        </is>
      </c>
    </row>
    <row r="33">
      <c r="A33" s="2" t="inlineStr">
        <is>
          <t>US-032</t>
        </is>
      </c>
      <c r="B33" s="8" t="inlineStr">
        <is>
          <t>Capture</t>
        </is>
      </c>
      <c r="C33" s="2" t="inlineStr">
        <is>
          <t>Capture mission</t>
        </is>
      </c>
      <c r="D33" s="2" t="inlineStr">
        <is>
          <t>capture.mission</t>
        </is>
      </c>
      <c r="E33" s="2" t="inlineStr">
        <is>
          <t>As the extension, I get the mission terms for the active job.</t>
        </is>
      </c>
      <c r="F33" s="2" t="inlineStr">
        <is>
          <t>Returns brief, research_questions, look_for terms, exclusions for an active job.</t>
        </is>
      </c>
      <c r="G33" s="2" t="inlineStr">
        <is>
          <t>GET /api/capture/jobs/{id}/mission</t>
        </is>
      </c>
      <c r="H33" s="2" t="inlineStr">
        <is>
          <t>Inactive/unknown job raises 'was not found'.</t>
        </is>
      </c>
      <c r="I33" s="2" t="inlineStr">
        <is>
          <t>Documented</t>
        </is>
      </c>
      <c r="J33" s="13" t="inlineStr">
        <is>
          <t>PASS</t>
        </is>
      </c>
      <c r="K33" s="2" t="inlineStr"/>
      <c r="L33" s="2" t="inlineStr"/>
      <c r="M33" s="13" t="inlineStr">
        <is>
          <t>PASS (re-verified green)</t>
        </is>
      </c>
    </row>
    <row r="34">
      <c r="A34" s="2" t="inlineStr">
        <is>
          <t>US-033</t>
        </is>
      </c>
      <c r="B34" s="8" t="inlineStr">
        <is>
          <t>Capture</t>
        </is>
      </c>
      <c r="C34" s="2" t="inlineStr">
        <is>
          <t>Submit candidate</t>
        </is>
      </c>
      <c r="D34" s="2" t="inlineStr">
        <is>
          <t>capture.submit</t>
        </is>
      </c>
      <c r="E34" s="2" t="inlineStr">
        <is>
          <t>As a researcher, I queue a selected/scanned excerpt for review (not saved yet).</t>
        </is>
      </c>
      <c r="F34" s="2" t="inlineStr">
        <is>
          <t>Inserts a pending browser_captures row with anonymized author; audit 'capture.submitted'.</t>
        </is>
      </c>
      <c r="G34" s="2" t="inlineStr">
        <is>
          <t>POST /api/capture/pending</t>
        </is>
      </c>
      <c r="H34" s="2" t="inlineStr">
        <is>
          <t>Bad url/excerpt/mode/question rejected. Author anonymized by default.</t>
        </is>
      </c>
      <c r="I34" s="2" t="inlineStr">
        <is>
          <t>Documented</t>
        </is>
      </c>
      <c r="J34" s="13" t="inlineStr">
        <is>
          <t>PASS</t>
        </is>
      </c>
      <c r="K34" s="2" t="inlineStr"/>
      <c r="L34" s="2" t="inlineStr"/>
      <c r="M34" s="13" t="inlineStr">
        <is>
          <t>PASS (re-verified green)</t>
        </is>
      </c>
    </row>
    <row r="35">
      <c r="A35" s="2" t="inlineStr">
        <is>
          <t>US-034</t>
        </is>
      </c>
      <c r="B35" s="8" t="inlineStr">
        <is>
          <t>Capture</t>
        </is>
      </c>
      <c r="C35" s="2" t="inlineStr">
        <is>
          <t>Review approve/reject</t>
        </is>
      </c>
      <c r="D35" s="2" t="inlineStr">
        <is>
          <t>capture.review</t>
        </is>
      </c>
      <c r="E35" s="2" t="inlineStr">
        <is>
          <t>As a researcher, I approve one candidate to promote it to evidence, or reject it.</t>
        </is>
      </c>
      <c r="F35" s="2" t="inlineStr">
        <is>
          <t>Approve -&gt; dedup insert into research_evidence, scrub staging; reject -&gt; discard; audit event.</t>
        </is>
      </c>
      <c r="G35" s="2" t="inlineStr">
        <is>
          <t>POST/DELETE /api/capture/pending/{id}</t>
        </is>
      </c>
      <c r="H35" s="2" t="inlineStr">
        <is>
          <t>Other client cannot see/mutate. Already-reviewed raises.</t>
        </is>
      </c>
      <c r="I35" s="2" t="inlineStr">
        <is>
          <t>Documented</t>
        </is>
      </c>
      <c r="J35" s="13" t="inlineStr">
        <is>
          <t>PASS</t>
        </is>
      </c>
      <c r="K35" s="2" t="inlineStr"/>
      <c r="L35" s="2" t="inlineStr"/>
      <c r="M35" s="13" t="inlineStr">
        <is>
          <t>PASS (re-verified green)</t>
        </is>
      </c>
    </row>
    <row r="36">
      <c r="A36" s="2" t="inlineStr">
        <is>
          <t>US-035</t>
        </is>
      </c>
      <c r="B36" s="8" t="inlineStr">
        <is>
          <t>Capture</t>
        </is>
      </c>
      <c r="C36" s="2" t="inlineStr">
        <is>
          <t>Direct approve (idempotent)</t>
        </is>
      </c>
      <c r="D36" s="2" t="inlineStr">
        <is>
          <t>capture.approve_direct</t>
        </is>
      </c>
      <c r="E36" s="2" t="inlineStr">
        <is>
          <t>As the extension, I atomically submit+approve a capture, safe to retry.</t>
        </is>
      </c>
      <c r="F36" s="2" t="inlineStr">
        <is>
          <t>Advisory-locked; idempotent by client_capture_id; promotes evidence; audit 'capture.approved'.</t>
        </is>
      </c>
      <c r="G36" s="2" t="inlineStr">
        <is>
          <t>POST /api/capture/approve</t>
        </is>
      </c>
      <c r="H36" s="2" t="inlineStr">
        <is>
          <t>Retry returns idempotent:true, same evidence_id.</t>
        </is>
      </c>
      <c r="I36" s="2" t="inlineStr">
        <is>
          <t>Documented</t>
        </is>
      </c>
      <c r="J36" s="13" t="inlineStr">
        <is>
          <t>PASS</t>
        </is>
      </c>
      <c r="K36" s="2" t="inlineStr"/>
      <c r="L36" s="2" t="inlineStr"/>
      <c r="M36" s="13" t="inlineStr">
        <is>
          <t>PASS (re-verified green)</t>
        </is>
      </c>
    </row>
    <row r="37">
      <c r="A37" s="2" t="inlineStr">
        <is>
          <t>US-036</t>
        </is>
      </c>
      <c r="B37" s="8" t="inlineStr">
        <is>
          <t>Capture</t>
        </is>
      </c>
      <c r="C37" s="2" t="inlineStr">
        <is>
          <t>Delete capture/evidence</t>
        </is>
      </c>
      <c r="D37" s="2" t="inlineStr">
        <is>
          <t>capture.delete_capture</t>
        </is>
      </c>
      <c r="E37" s="2" t="inlineStr">
        <is>
          <t>As a researcher, I delete a promoted capture and its evidence.</t>
        </is>
      </c>
      <c r="F37" s="2" t="inlineStr">
        <is>
          <t>Deletes evidence + scrubs/deletes staging, client-scoped; audit 'capture.deleted'.</t>
        </is>
      </c>
      <c r="G37" s="2" t="inlineStr">
        <is>
          <t>DELETE /api/capture/evidence/{id}</t>
        </is>
      </c>
      <c r="H37" s="2" t="inlineStr">
        <is>
          <t>Wrong client cannot delete.</t>
        </is>
      </c>
      <c r="I37" s="2" t="inlineStr">
        <is>
          <t>Documented</t>
        </is>
      </c>
      <c r="J37" s="13" t="inlineStr">
        <is>
          <t>PASS</t>
        </is>
      </c>
      <c r="K37" s="2" t="inlineStr"/>
      <c r="L37" s="2" t="inlineStr"/>
      <c r="M37" s="13" t="inlineStr">
        <is>
          <t>PASS (re-verified green)</t>
        </is>
      </c>
    </row>
    <row r="38">
      <c r="A38" s="2" t="inlineStr">
        <is>
          <t>US-037</t>
        </is>
      </c>
      <c r="B38" s="8" t="inlineStr">
        <is>
          <t>Capture</t>
        </is>
      </c>
      <c r="C38" s="2" t="inlineStr">
        <is>
          <t>Expire pending</t>
        </is>
      </c>
      <c r="D38" s="2" t="inlineStr">
        <is>
          <t>capture.expire_pending</t>
        </is>
      </c>
      <c r="E38" s="2" t="inlineStr">
        <is>
          <t>As the system, stale pending candidates are purged.</t>
        </is>
      </c>
      <c r="F38" s="2" t="inlineStr">
        <is>
          <t>Pending past expires_at -&gt; status expired, content scrubbed; audit 'capture.expired'.</t>
        </is>
      </c>
      <c r="G38" s="2" t="inlineStr">
        <is>
          <t>automatic on list</t>
        </is>
      </c>
      <c r="H38" s="2" t="inlineStr">
        <is>
          <t>24h default TTL.</t>
        </is>
      </c>
      <c r="I38" s="2" t="inlineStr">
        <is>
          <t>Documented</t>
        </is>
      </c>
      <c r="J38" s="13" t="inlineStr">
        <is>
          <t>PASS</t>
        </is>
      </c>
      <c r="K38" s="2" t="inlineStr"/>
      <c r="L38" s="2" t="inlineStr"/>
      <c r="M38" s="13" t="inlineStr">
        <is>
          <t>PASS (re-verified green)</t>
        </is>
      </c>
    </row>
    <row r="39">
      <c r="A39" s="2" t="inlineStr">
        <is>
          <t>US-038</t>
        </is>
      </c>
      <c r="B39" s="3" t="inlineStr">
        <is>
          <t>Sessions</t>
        </is>
      </c>
      <c r="C39" s="2" t="inlineStr">
        <is>
          <t>Request session</t>
        </is>
      </c>
      <c r="D39" s="2" t="inlineStr">
        <is>
          <t>capture.request_session</t>
        </is>
      </c>
      <c r="E39" s="2" t="inlineStr">
        <is>
          <t>As a host, I request an approval-gated traffic session for one domain.</t>
        </is>
      </c>
      <c r="F39" s="2" t="inlineStr">
        <is>
          <t>Creates 'requested' session; normalizes domain; rejects duplicates and inactive jobs.</t>
        </is>
      </c>
      <c r="G39" s="2" t="inlineStr">
        <is>
          <t>request_browser_traffic_session</t>
        </is>
      </c>
      <c r="H39" s="2" t="inlineStr">
        <is>
          <t>scheme/port/path/IP/localhost rejected; dup live session rejected.</t>
        </is>
      </c>
      <c r="I39" s="2" t="inlineStr">
        <is>
          <t>Documented</t>
        </is>
      </c>
      <c r="J39" s="13" t="inlineStr">
        <is>
          <t>PASS</t>
        </is>
      </c>
      <c r="K39" s="2" t="inlineStr"/>
      <c r="L39" s="2" t="inlineStr"/>
      <c r="M39" s="13" t="inlineStr">
        <is>
          <t>PASS (re-verified green)</t>
        </is>
      </c>
    </row>
    <row r="40">
      <c r="A40" s="2" t="inlineStr">
        <is>
          <t>US-039</t>
        </is>
      </c>
      <c r="B40" s="3" t="inlineStr">
        <is>
          <t>Sessions</t>
        </is>
      </c>
      <c r="C40" s="2" t="inlineStr">
        <is>
          <t>Approve session</t>
        </is>
      </c>
      <c r="D40" s="2" t="inlineStr">
        <is>
          <t>capture.approve_session</t>
        </is>
      </c>
      <c r="E40" s="2" t="inlineStr">
        <is>
          <t>As a researcher, I approve a session once, binding it to my browser for &lt;=30 min.</t>
        </is>
      </c>
      <c r="F40" s="2" t="inlineStr">
        <is>
          <t>Sets approved, client_id, expires_at=now+min(ttl,30); returns session summary; audit 'session.approved'.</t>
        </is>
      </c>
      <c r="G40" s="2" t="inlineStr">
        <is>
          <t>POST /api/capture/sessions/{id}/approve</t>
        </is>
      </c>
      <c r="H40" s="2" t="inlineStr">
        <is>
          <t>Requires approved_by_user; revoked client rejected; only 'requested' approvable.</t>
        </is>
      </c>
      <c r="I40" s="2" t="inlineStr">
        <is>
          <t>Documented</t>
        </is>
      </c>
      <c r="J40" s="13" t="inlineStr">
        <is>
          <t>PASS</t>
        </is>
      </c>
      <c r="K40" s="2" t="inlineStr"/>
      <c r="L40" s="2" t="inlineStr"/>
      <c r="M40" s="13" t="inlineStr">
        <is>
          <t>PASS (re-verified green)</t>
        </is>
      </c>
    </row>
    <row r="41">
      <c r="A41" s="2" t="inlineStr">
        <is>
          <t>US-040</t>
        </is>
      </c>
      <c r="B41" s="3" t="inlineStr">
        <is>
          <t>Sessions</t>
        </is>
      </c>
      <c r="C41" s="2" t="inlineStr">
        <is>
          <t>Decline session</t>
        </is>
      </c>
      <c r="D41" s="2" t="inlineStr">
        <is>
          <t>capture.decline_session</t>
        </is>
      </c>
      <c r="E41" s="2" t="inlineStr">
        <is>
          <t>As a researcher, I decline a session request.</t>
        </is>
      </c>
      <c r="F41" s="2" t="inlineStr">
        <is>
          <t>Sets declined; audit 'session.declined'.</t>
        </is>
      </c>
      <c r="G41" s="2" t="inlineStr">
        <is>
          <t>POST /api/capture/sessions/{id}/decline</t>
        </is>
      </c>
      <c r="H41" s="2" t="inlineStr">
        <is>
          <t>Only 'requested' declinable.</t>
        </is>
      </c>
      <c r="I41" s="2" t="inlineStr">
        <is>
          <t>Documented</t>
        </is>
      </c>
      <c r="J41" s="13" t="inlineStr">
        <is>
          <t>PASS</t>
        </is>
      </c>
      <c r="K41" s="2" t="inlineStr"/>
      <c r="L41" s="2" t="inlineStr"/>
      <c r="M41" s="13" t="inlineStr">
        <is>
          <t>PASS (re-verified green)</t>
        </is>
      </c>
    </row>
    <row r="42">
      <c r="A42" s="2" t="inlineStr">
        <is>
          <t>US-041</t>
        </is>
      </c>
      <c r="B42" s="3" t="inlineStr">
        <is>
          <t>Sessions</t>
        </is>
      </c>
      <c r="C42" s="2" t="inlineStr">
        <is>
          <t>Stop session</t>
        </is>
      </c>
      <c r="D42" s="2" t="inlineStr">
        <is>
          <t>capture.stop_session</t>
        </is>
      </c>
      <c r="E42" s="2" t="inlineStr">
        <is>
          <t>As a researcher, I stop an active session immediately from extension or control center.</t>
        </is>
      </c>
      <c r="F42" s="2" t="inlineStr">
        <is>
          <t>Sets stopped, ended_at; audit 'session.stopped'; web UI may stop without client id.</t>
        </is>
      </c>
      <c r="G42" s="2" t="inlineStr">
        <is>
          <t>POST /api/capture/sessions/{id}/stop or /api/research/sessions/{id}/stop</t>
        </is>
      </c>
      <c r="H42" s="2" t="inlineStr">
        <is>
          <t>Only open sessions stoppable.</t>
        </is>
      </c>
      <c r="I42" s="2" t="inlineStr">
        <is>
          <t>Documented</t>
        </is>
      </c>
      <c r="J42" s="13" t="inlineStr">
        <is>
          <t>PASS</t>
        </is>
      </c>
      <c r="K42" s="2" t="inlineStr"/>
      <c r="L42" s="2" t="inlineStr"/>
      <c r="M42" s="13" t="inlineStr">
        <is>
          <t>PASS (re-verified green)</t>
        </is>
      </c>
    </row>
    <row r="43">
      <c r="A43" s="2" t="inlineStr">
        <is>
          <t>US-042</t>
        </is>
      </c>
      <c r="B43" s="3" t="inlineStr">
        <is>
          <t>Sessions</t>
        </is>
      </c>
      <c r="C43" s="2" t="inlineStr">
        <is>
          <t>Consent-gate enforcement</t>
        </is>
      </c>
      <c r="D43" s="2" t="inlineStr">
        <is>
          <t>capture.approve_direct (approved_session)</t>
        </is>
      </c>
      <c r="E43" s="2" t="inlineStr">
        <is>
          <t>As the server, I accept approved_session captures only while a live session covers the domain.</t>
        </is>
      </c>
      <c r="F43" s="2" t="inlineStr">
        <is>
          <t>Requires metadata.session_id matching an approved, unexpired session for client+job whose domain covers URL host, else PermissionError.</t>
        </is>
      </c>
      <c r="G43" s="2" t="inlineStr">
        <is>
          <t>POST /api/capture/approve (approved_session)</t>
        </is>
      </c>
      <c r="H43" s="2" t="inlineStr">
        <is>
          <t>Pre-approval, wrong domain, expired, stopped all blocked.</t>
        </is>
      </c>
      <c r="I43" s="2" t="inlineStr">
        <is>
          <t>Documented</t>
        </is>
      </c>
      <c r="J43" s="13" t="inlineStr">
        <is>
          <t>PASS</t>
        </is>
      </c>
      <c r="K43" s="2" t="inlineStr"/>
      <c r="L43" s="2" t="inlineStr"/>
      <c r="M43" s="13" t="inlineStr">
        <is>
          <t>PASS (re-verified green)</t>
        </is>
      </c>
    </row>
    <row r="44">
      <c r="A44" s="2" t="inlineStr">
        <is>
          <t>US-043</t>
        </is>
      </c>
      <c r="B44" s="3" t="inlineStr">
        <is>
          <t>Sessions</t>
        </is>
      </c>
      <c r="C44" s="2" t="inlineStr">
        <is>
          <t>Network raw promotion</t>
        </is>
      </c>
      <c r="D44" s="2" t="inlineStr">
        <is>
          <t>capture.approve_direct (network)</t>
        </is>
      </c>
      <c r="E44" s="2" t="inlineStr">
        <is>
          <t>As the server, captured network payloads are stored redacted and summarized on evidence.</t>
        </is>
      </c>
      <c r="F44" s="2" t="inlineStr">
        <is>
          <t>metadata.network -&gt; record_raw_parts(browser_network) in same txn; evidence keeps bounded summary only (no body).</t>
        </is>
      </c>
      <c r="G44" s="2" t="inlineStr">
        <is>
          <t>network capture approve</t>
        </is>
      </c>
      <c r="H44" s="2" t="inlineStr">
        <is>
          <t>Body capped at session max_payload_bytes; secret query params redacted.</t>
        </is>
      </c>
      <c r="I44" s="2" t="inlineStr">
        <is>
          <t>Documented</t>
        </is>
      </c>
      <c r="J44" s="13" t="inlineStr">
        <is>
          <t>PASS</t>
        </is>
      </c>
      <c r="K44" s="2" t="inlineStr"/>
      <c r="L44" s="2" t="inlineStr"/>
      <c r="M44" s="13" t="inlineStr">
        <is>
          <t>PASS (re-verified green)</t>
        </is>
      </c>
    </row>
    <row r="45">
      <c r="A45" s="2" t="inlineStr">
        <is>
          <t>US-044</t>
        </is>
      </c>
      <c r="B45" s="3" t="inlineStr">
        <is>
          <t>Sessions</t>
        </is>
      </c>
      <c r="C45" s="2" t="inlineStr">
        <is>
          <t>Expire sessions</t>
        </is>
      </c>
      <c r="D45" s="2" t="inlineStr">
        <is>
          <t>capture.expire_sessions</t>
        </is>
      </c>
      <c r="E45" s="2" t="inlineStr">
        <is>
          <t>As the system, unapproved requests and past-expiry sessions are expired.</t>
        </is>
      </c>
      <c r="F45" s="2" t="inlineStr">
        <is>
          <t>requested&gt;10min or approved past expires_at -&gt; expired; audit 'session.expired'.</t>
        </is>
      </c>
      <c r="G45" s="2" t="inlineStr">
        <is>
          <t>automatic on list/status/active</t>
        </is>
      </c>
      <c r="H45" s="2" t="inlineStr">
        <is>
          <t>active_session returns None when expired.</t>
        </is>
      </c>
      <c r="I45" s="2" t="inlineStr">
        <is>
          <t>Documented</t>
        </is>
      </c>
      <c r="J45" s="13" t="inlineStr">
        <is>
          <t>PASS</t>
        </is>
      </c>
      <c r="K45" s="2" t="inlineStr"/>
      <c r="L45" s="2" t="inlineStr"/>
      <c r="M45" s="13" t="inlineStr">
        <is>
          <t>PASS (re-verified green)</t>
        </is>
      </c>
    </row>
    <row r="46">
      <c r="A46" s="2" t="inlineStr">
        <is>
          <t>US-045</t>
        </is>
      </c>
      <c r="B46" s="4" t="inlineStr">
        <is>
          <t>CLI</t>
        </is>
      </c>
      <c r="C46" s="2" t="inlineStr">
        <is>
          <t>Migrate database</t>
        </is>
      </c>
      <c r="D46" s="2" t="inlineStr">
        <is>
          <t>main.py migrate</t>
        </is>
      </c>
      <c r="E46" s="2" t="inlineStr">
        <is>
          <t>As an operator, I initialize/upgrade the database.</t>
        </is>
      </c>
      <c r="F46" s="2" t="inlineStr">
        <is>
          <t>Applies pending migrations and seeds config; prints 'Database migrated and configuration seeded.'</t>
        </is>
      </c>
      <c r="G46" s="2" t="inlineStr">
        <is>
          <t>python main.py migrate</t>
        </is>
      </c>
      <c r="H46" s="2" t="inlineStr">
        <is>
          <t>Idempotent; re-run skips applied migrations.</t>
        </is>
      </c>
      <c r="I46" s="2" t="inlineStr">
        <is>
          <t>Documented</t>
        </is>
      </c>
      <c r="J46" s="13" t="inlineStr">
        <is>
          <t>PASS</t>
        </is>
      </c>
      <c r="K46" s="2" t="inlineStr"/>
      <c r="L46" s="2" t="inlineStr"/>
      <c r="M46" s="13" t="inlineStr">
        <is>
          <t>PASS (re-verified green)</t>
        </is>
      </c>
    </row>
    <row r="47">
      <c r="A47" s="2" t="inlineStr">
        <is>
          <t>US-046</t>
        </is>
      </c>
      <c r="B47" s="4" t="inlineStr">
        <is>
          <t>CLI</t>
        </is>
      </c>
      <c r="C47" s="2" t="inlineStr">
        <is>
          <t>Collect a source</t>
        </is>
      </c>
      <c r="D47" s="2" t="inlineStr">
        <is>
          <t>main.py collect</t>
        </is>
      </c>
      <c r="E47" s="2" t="inlineStr">
        <is>
          <t>As an operator, I run one collector or all usable collectors.</t>
        </is>
      </c>
      <c r="F47" s="2" t="inlineStr">
        <is>
          <t>Runs discord/twitch/kick/press or 'all'; prints completion; exits non-zero if any collector failed.</t>
        </is>
      </c>
      <c r="G47" s="2" t="inlineStr">
        <is>
          <t>python main.py collect {discord|twitch|kick|press|all}</t>
        </is>
      </c>
      <c r="H47" s="2" t="inlineStr">
        <is>
          <t>'all' omits twitch/kick without creds. Single twitch/kick without creds fails that collector only.</t>
        </is>
      </c>
      <c r="I47" s="2" t="inlineStr">
        <is>
          <t>Documented</t>
        </is>
      </c>
      <c r="J47" s="13" t="inlineStr">
        <is>
          <t>PASS</t>
        </is>
      </c>
      <c r="K47" s="2" t="inlineStr"/>
      <c r="L47" s="2" t="inlineStr"/>
      <c r="M47" s="13" t="inlineStr">
        <is>
          <t>PASS (re-verified green)</t>
        </is>
      </c>
    </row>
    <row r="48">
      <c r="A48" s="2" t="inlineStr">
        <is>
          <t>US-047</t>
        </is>
      </c>
      <c r="B48" s="4" t="inlineStr">
        <is>
          <t>CLI</t>
        </is>
      </c>
      <c r="C48" s="2" t="inlineStr">
        <is>
          <t>Weekly report</t>
        </is>
      </c>
      <c r="D48" s="2" t="inlineStr">
        <is>
          <t>main.py report</t>
        </is>
      </c>
      <c r="E48" s="2" t="inlineStr">
        <is>
          <t>As an operator, I render a week's WoW rollup report.</t>
        </is>
      </c>
      <c r="F48" s="2" t="inlineStr">
        <is>
          <t>Renders report.md + report.html for the ISO week; prints both paths.</t>
        </is>
      </c>
      <c r="G48" s="2" t="inlineStr">
        <is>
          <t>python main.py report &lt;YYYY-MM-DD Monday&gt;</t>
        </is>
      </c>
      <c r="H48" s="2" t="inlineStr">
        <is>
          <t>week_start must be a valid Monday, else arg-parse error before DB access. Overwrites same-week file.</t>
        </is>
      </c>
      <c r="I48" s="2" t="inlineStr">
        <is>
          <t>Documented</t>
        </is>
      </c>
      <c r="J48" s="13" t="inlineStr">
        <is>
          <t>PASS</t>
        </is>
      </c>
      <c r="K48" s="2" t="inlineStr"/>
      <c r="L48" s="2" t="inlineStr"/>
      <c r="M48" s="13" t="inlineStr">
        <is>
          <t>PASS (re-verified green)</t>
        </is>
      </c>
    </row>
    <row r="49">
      <c r="A49" s="2" t="inlineStr">
        <is>
          <t>US-048</t>
        </is>
      </c>
      <c r="B49" s="4" t="inlineStr">
        <is>
          <t>CLI</t>
        </is>
      </c>
      <c r="C49" s="2" t="inlineStr">
        <is>
          <t>Fresh signal pulse</t>
        </is>
      </c>
      <c r="D49" s="2" t="inlineStr">
        <is>
          <t>main.py pulse</t>
        </is>
      </c>
      <c r="E49" s="2" t="inlineStr">
        <is>
          <t>As an operator, I collect fresh signals now and render a brief scoped to this run.</t>
        </is>
      </c>
      <c r="F49" s="2" t="inlineStr">
        <is>
          <t>Collects on_demand sources, renders fresh-signals brief for new run ids; prints path.</t>
        </is>
      </c>
      <c r="G49" s="2" t="inlineStr">
        <is>
          <t>python main.py pulse [--sources ...] [--press-hours N]</t>
        </is>
      </c>
      <c r="H49" s="2" t="inlineStr">
        <is>
          <t>--sources validated against known names; --press-hours must be &gt;0. Brief still renders on collector failure then exits non-zero.</t>
        </is>
      </c>
      <c r="I49" s="2" t="inlineStr">
        <is>
          <t>Documented</t>
        </is>
      </c>
      <c r="J49" s="13" t="inlineStr">
        <is>
          <t>PASS</t>
        </is>
      </c>
      <c r="K49" s="2" t="inlineStr"/>
      <c r="L49" s="2" t="inlineStr"/>
      <c r="M49" s="13" t="inlineStr">
        <is>
          <t>PASS (re-verified green)</t>
        </is>
      </c>
    </row>
    <row r="50">
      <c r="A50" s="2" t="inlineStr">
        <is>
          <t>US-049</t>
        </is>
      </c>
      <c r="B50" s="4" t="inlineStr">
        <is>
          <t>CLI</t>
        </is>
      </c>
      <c r="C50" s="2" t="inlineStr">
        <is>
          <t>Replay raw responses</t>
        </is>
      </c>
      <c r="D50" s="2" t="inlineStr">
        <is>
          <t>main.py replay</t>
        </is>
      </c>
      <c r="E50" s="2" t="inlineStr">
        <is>
          <t>As an operator, I reparse stored raw responses offline (no network).</t>
        </is>
      </c>
      <c r="F50" s="2" t="inlineStr">
        <is>
          <t>Reparses one response id or all ids of a run; prints 'Replayed raw response &lt;id&gt;'.</t>
        </is>
      </c>
      <c r="G50" s="2" t="inlineStr">
        <is>
          <t>python main.py replay (--response-id N | --run-id N)</t>
        </is>
      </c>
      <c r="H50" s="2" t="inlineStr">
        <is>
          <t>Exactly one of the two required. Empty run set or per-id failures exit non-zero.</t>
        </is>
      </c>
      <c r="I50" s="2" t="inlineStr">
        <is>
          <t>Documented</t>
        </is>
      </c>
      <c r="J50" s="13" t="inlineStr">
        <is>
          <t>PASS</t>
        </is>
      </c>
      <c r="K50" s="2" t="inlineStr"/>
      <c r="L50" s="2" t="inlineStr"/>
      <c r="M50" s="13" t="inlineStr">
        <is>
          <t>PASS (re-verified green)</t>
        </is>
      </c>
    </row>
    <row r="51">
      <c r="A51" s="2" t="inlineStr">
        <is>
          <t>US-050</t>
        </is>
      </c>
      <c r="B51" s="5" t="inlineStr">
        <is>
          <t>Collectors</t>
        </is>
      </c>
      <c r="C51" s="2" t="inlineStr">
        <is>
          <t>Resilient HTTP client</t>
        </is>
      </c>
      <c r="D51" s="2" t="inlineStr">
        <is>
          <t>collectors.base.HTTPClient</t>
        </is>
      </c>
      <c r="E51" s="2" t="inlineStr">
        <is>
          <t>As an operator, collector HTTP is rate-limited, retried, and redaction-logged.</t>
        </is>
      </c>
      <c r="F51" s="2" t="inlineStr">
        <is>
          <t>Bounded retries on 429/5xx/timeouts with Retry-After backoff; every response logged redacted to raw_responses.</t>
        </is>
      </c>
      <c r="G51" s="2" t="inlineStr">
        <is>
          <t>internal to collectors</t>
        </is>
      </c>
      <c r="H51" s="2" t="inlineStr">
        <is>
          <t>Secrets in headers/url/oauth body redacted. Raw evidence on a dedicated connection.</t>
        </is>
      </c>
      <c r="I51" s="2" t="inlineStr">
        <is>
          <t>Documented</t>
        </is>
      </c>
      <c r="J51" s="13" t="inlineStr">
        <is>
          <t>PASS</t>
        </is>
      </c>
      <c r="K51" s="2" t="inlineStr"/>
      <c r="L51" s="2" t="inlineStr"/>
      <c r="M51" s="13" t="inlineStr">
        <is>
          <t>PASS (re-verified green)</t>
        </is>
      </c>
    </row>
    <row r="52">
      <c r="A52" s="2" t="inlineStr">
        <is>
          <t>US-051</t>
        </is>
      </c>
      <c r="B52" s="5" t="inlineStr">
        <is>
          <t>Collectors</t>
        </is>
      </c>
      <c r="C52" s="2" t="inlineStr">
        <is>
          <t>Run logging</t>
        </is>
      </c>
      <c r="D52" s="2" t="inlineStr">
        <is>
          <t>collectors.base.RunLog</t>
        </is>
      </c>
      <c r="E52" s="2" t="inlineStr">
        <is>
          <t>As an operator, each collection run records status and counts.</t>
        </is>
      </c>
      <c r="F52" s="2" t="inlineStr">
        <is>
          <t>Opens collection_runs row; final status success/partial/failed by outcome; errors truncated 1000 chars.</t>
        </is>
      </c>
      <c r="G52" s="2" t="inlineStr">
        <is>
          <t>internal</t>
        </is>
      </c>
      <c r="H52" s="2" t="inlineStr">
        <is>
          <t>Raw logging on separate connection survives collector rollback.</t>
        </is>
      </c>
      <c r="I52" s="2" t="inlineStr">
        <is>
          <t>Documented</t>
        </is>
      </c>
      <c r="J52" s="13" t="inlineStr">
        <is>
          <t>PASS</t>
        </is>
      </c>
      <c r="K52" s="2" t="inlineStr"/>
      <c r="L52" s="2" t="inlineStr"/>
      <c r="M52" s="13" t="inlineStr">
        <is>
          <t>PASS (re-verified green)</t>
        </is>
      </c>
    </row>
    <row r="53">
      <c r="A53" s="2" t="inlineStr">
        <is>
          <t>US-052</t>
        </is>
      </c>
      <c r="B53" s="5" t="inlineStr">
        <is>
          <t>Collectors</t>
        </is>
      </c>
      <c r="C53" s="2" t="inlineStr">
        <is>
          <t>Discord snapshots</t>
        </is>
      </c>
      <c r="D53" s="2" t="inlineStr">
        <is>
          <t>collectors.discord.collect</t>
        </is>
      </c>
      <c r="E53" s="2" t="inlineStr">
        <is>
          <t>As an operator, I snapshot public Discord invite/widget metadata for watchlisted servers.</t>
        </is>
      </c>
      <c r="F53" s="2" t="inlineStr">
        <is>
          <t>Iterates active discord_servers, stores member/presence snapshots; dead invites flagged.</t>
        </is>
      </c>
      <c r="G53" s="2" t="inlineStr">
        <is>
          <t>python main.py collect discord</t>
        </is>
      </c>
      <c r="H53" s="2" t="inlineStr">
        <is>
          <t>404 invite -&gt; status invite_dead. Widget errors stored as unavailable.</t>
        </is>
      </c>
      <c r="I53" s="2" t="inlineStr">
        <is>
          <t>Documented</t>
        </is>
      </c>
      <c r="J53" s="13" t="inlineStr">
        <is>
          <t>PASS</t>
        </is>
      </c>
      <c r="K53" s="2" t="inlineStr"/>
      <c r="L53" s="2" t="inlineStr"/>
      <c r="M53" s="13" t="inlineStr">
        <is>
          <t>PASS (re-verified green)</t>
        </is>
      </c>
    </row>
    <row r="54">
      <c r="A54" s="2" t="inlineStr">
        <is>
          <t>US-053</t>
        </is>
      </c>
      <c r="B54" s="5" t="inlineStr">
        <is>
          <t>Collectors</t>
        </is>
      </c>
      <c r="C54" s="2" t="inlineStr">
        <is>
          <t>Twitch category snapshots</t>
        </is>
      </c>
      <c r="D54" s="2" t="inlineStr">
        <is>
          <t>collectors.twitch.collect</t>
        </is>
      </c>
      <c r="E54" s="2" t="inlineStr">
        <is>
          <t>As an operator, I snapshot Twitch stream/category viewership.</t>
        </is>
      </c>
      <c r="F54" s="2" t="inlineStr">
        <is>
          <t>OAuth, paginates streams + games/top, upserts categories, inserts category_snapshots with directory rank.</t>
        </is>
      </c>
      <c r="G54" s="2" t="inlineStr">
        <is>
          <t>python main.py collect twitch</t>
        </is>
      </c>
      <c r="H54" s="2" t="inlineStr">
        <is>
          <t>401 refreshes token once. Missing creds -&gt; collector fails.</t>
        </is>
      </c>
      <c r="I54" s="2" t="inlineStr">
        <is>
          <t>Documented</t>
        </is>
      </c>
      <c r="J54" s="13" t="inlineStr">
        <is>
          <t>PASS</t>
        </is>
      </c>
      <c r="K54" s="2" t="inlineStr"/>
      <c r="L54" s="2" t="inlineStr"/>
      <c r="M54" s="13" t="inlineStr">
        <is>
          <t>PASS (re-verified green)</t>
        </is>
      </c>
    </row>
    <row r="55">
      <c r="A55" s="2" t="inlineStr">
        <is>
          <t>US-054</t>
        </is>
      </c>
      <c r="B55" s="5" t="inlineStr">
        <is>
          <t>Collectors</t>
        </is>
      </c>
      <c r="C55" s="2" t="inlineStr">
        <is>
          <t>Kick category snapshots</t>
        </is>
      </c>
      <c r="D55" s="2" t="inlineStr">
        <is>
          <t>collectors.kick.collect</t>
        </is>
      </c>
      <c r="E55" s="2" t="inlineStr">
        <is>
          <t>As an operator, I snapshot Kick livestream/category viewership.</t>
        </is>
      </c>
      <c r="F55" s="2" t="inlineStr">
        <is>
          <t>OAuth, paginates livestreams, ranks categories by viewers, inserts snapshots.</t>
        </is>
      </c>
      <c r="G55" s="2" t="inlineStr">
        <is>
          <t>python main.py collect kick</t>
        </is>
      </c>
      <c r="H55" s="2" t="inlineStr">
        <is>
          <t>401 refreshes token once. Missing creds -&gt; collector fails.</t>
        </is>
      </c>
      <c r="I55" s="2" t="inlineStr">
        <is>
          <t>Documented</t>
        </is>
      </c>
      <c r="J55" s="13" t="inlineStr">
        <is>
          <t>PASS</t>
        </is>
      </c>
      <c r="K55" s="2" t="inlineStr"/>
      <c r="L55" s="2" t="inlineStr"/>
      <c r="M55" s="13" t="inlineStr">
        <is>
          <t>PASS (re-verified green)</t>
        </is>
      </c>
    </row>
    <row r="56">
      <c r="A56" s="2" t="inlineStr">
        <is>
          <t>US-055</t>
        </is>
      </c>
      <c r="B56" s="5" t="inlineStr">
        <is>
          <t>Collectors</t>
        </is>
      </c>
      <c r="C56" s="2" t="inlineStr">
        <is>
          <t>Press article ingestion</t>
        </is>
      </c>
      <c r="D56" s="2" t="inlineStr">
        <is>
          <t>collectors.press.collect</t>
        </is>
      </c>
      <c r="E56" s="2" t="inlineStr">
        <is>
          <t>As an operator, I ingest matching press articles from configured outlets.</t>
        </is>
      </c>
      <c r="F56" s="2" t="inlineStr">
        <is>
          <t>Resolves each outlet feed, matches titles by alias, inserts deduped articles.</t>
        </is>
      </c>
      <c r="G56" s="2" t="inlineStr">
        <is>
          <t>python main.py collect press</t>
        </is>
      </c>
      <c r="H56" s="2" t="inlineStr">
        <is>
          <t>Unresolvable feed -&gt; source unavailable. url_hash dedup.</t>
        </is>
      </c>
      <c r="I56" s="2" t="inlineStr">
        <is>
          <t>Documented</t>
        </is>
      </c>
      <c r="J56" s="13" t="inlineStr">
        <is>
          <t>PASS</t>
        </is>
      </c>
      <c r="K56" s="2" t="inlineStr"/>
      <c r="L56" s="2" t="inlineStr"/>
      <c r="M56" s="13" t="inlineStr">
        <is>
          <t>PASS (re-verified green)</t>
        </is>
      </c>
    </row>
    <row r="57">
      <c r="A57" s="2" t="inlineStr">
        <is>
          <t>US-056</t>
        </is>
      </c>
      <c r="B57" s="5" t="inlineStr">
        <is>
          <t>Collectors</t>
        </is>
      </c>
      <c r="C57" s="2" t="inlineStr">
        <is>
          <t>Offline replay</t>
        </is>
      </c>
      <c r="D57" s="2" t="inlineStr">
        <is>
          <t>collectors.replay.replay_response</t>
        </is>
      </c>
      <c r="E57" s="2" t="inlineStr">
        <is>
          <t>As an operator, I reparse a stored payload without hitting the network.</t>
        </is>
      </c>
      <c r="F57" s="2" t="inlineStr">
        <is>
          <t>Dispatches by payload_kind, writes parsed/parse_status; never makes network calls.</t>
        </is>
      </c>
      <c r="G57" s="2" t="inlineStr">
        <is>
          <t>python main.py replay</t>
        </is>
      </c>
      <c r="H57" s="2" t="inlineStr">
        <is>
          <t>Unknown kind -&gt; unsupported. Handler error -&gt; failed + error stored.</t>
        </is>
      </c>
      <c r="I57" s="2" t="inlineStr">
        <is>
          <t>Documented</t>
        </is>
      </c>
      <c r="J57" s="13" t="inlineStr">
        <is>
          <t>PASS</t>
        </is>
      </c>
      <c r="K57" s="2" t="inlineStr"/>
      <c r="L57" s="2" t="inlineStr"/>
      <c r="M57" s="13" t="inlineStr">
        <is>
          <t>PASS (re-verified green)</t>
        </is>
      </c>
    </row>
    <row r="58">
      <c r="A58" s="2" t="inlineStr">
        <is>
          <t>US-057</t>
        </is>
      </c>
      <c r="B58" s="6" t="inlineStr">
        <is>
          <t>Reporting</t>
        </is>
      </c>
      <c r="C58" s="2" t="inlineStr">
        <is>
          <t>Weekly WoW report</t>
        </is>
      </c>
      <c r="D58" s="2" t="inlineStr">
        <is>
          <t>reporting.render.render_report</t>
        </is>
      </c>
      <c r="E58" s="2" t="inlineStr">
        <is>
          <t>As an operator, I get a week-over-week markdown+HTML report.</t>
        </is>
      </c>
      <c r="F58" s="2" t="inlineStr">
        <is>
          <t>Builds rollup, renders template, writes &lt;isoweek&gt;-gaming-pulse.md/.html, logs report_runs.</t>
        </is>
      </c>
      <c r="G58" s="2" t="inlineStr">
        <is>
          <t>python main.py report / control center</t>
        </is>
      </c>
      <c r="H58" s="2" t="inlineStr">
        <is>
          <t>Coverage line 'N of 7 complete days'. Standalone HTML with inline CSS.</t>
        </is>
      </c>
      <c r="I58" s="2" t="inlineStr">
        <is>
          <t>Documented</t>
        </is>
      </c>
      <c r="J58" s="13" t="inlineStr">
        <is>
          <t>PASS</t>
        </is>
      </c>
      <c r="K58" s="2" t="inlineStr"/>
      <c r="L58" s="2" t="inlineStr"/>
      <c r="M58" s="13" t="inlineStr">
        <is>
          <t>PASS (re-verified green)</t>
        </is>
      </c>
    </row>
    <row r="59">
      <c r="A59" s="2" t="inlineStr">
        <is>
          <t>US-058</t>
        </is>
      </c>
      <c r="B59" s="6" t="inlineStr">
        <is>
          <t>Reporting</t>
        </is>
      </c>
      <c r="C59" s="2" t="inlineStr">
        <is>
          <t>Fresh signal brief</t>
        </is>
      </c>
      <c r="D59" s="2" t="inlineStr">
        <is>
          <t>reporting.ondemand.render_signal_brief</t>
        </is>
      </c>
      <c r="E59" s="2" t="inlineStr">
        <is>
          <t>As an operator, I get a brief of the freshest observations.</t>
        </is>
      </c>
      <c r="F59" s="2" t="inlineStr">
        <is>
          <t>Renders &lt;timestamp&gt;-fresh-signals.md scoped to given run ids or latest snapshots.</t>
        </is>
      </c>
      <c r="G59" s="2" t="inlineStr">
        <is>
          <t>python main.py pulse / control center</t>
        </is>
      </c>
      <c r="H59" s="2" t="inlineStr">
        <is>
          <t>Empty sections emit placeholder rows.</t>
        </is>
      </c>
      <c r="I59" s="2" t="inlineStr">
        <is>
          <t>Documented</t>
        </is>
      </c>
      <c r="J59" s="13" t="inlineStr">
        <is>
          <t>PASS</t>
        </is>
      </c>
      <c r="K59" s="2" t="inlineStr"/>
      <c r="L59" s="2" t="inlineStr"/>
      <c r="M59" s="13" t="inlineStr">
        <is>
          <t>PASS (re-verified green)</t>
        </is>
      </c>
    </row>
    <row r="60">
      <c r="A60" s="2" t="inlineStr">
        <is>
          <t>US-059</t>
        </is>
      </c>
      <c r="B60" s="6" t="inlineStr">
        <is>
          <t>Reporting</t>
        </is>
      </c>
      <c r="C60" s="2" t="inlineStr">
        <is>
          <t>WoW rollup logic</t>
        </is>
      </c>
      <c r="D60" s="2" t="inlineStr">
        <is>
          <t>reporting.rollup.build_rollup</t>
        </is>
      </c>
      <c r="E60" s="2" t="inlineStr">
        <is>
          <t>As an operator, movement is only shown with enough clean coverage.</t>
        </is>
      </c>
      <c r="F60" s="2" t="inlineStr">
        <is>
          <t>Movement states UP/DOWN/UNCHANGED/NEW/DROPPED/INSUFFICIENT_DATA/BASELINE; movers need &gt;=2 sources agreeing.</t>
        </is>
      </c>
      <c r="G60" s="2" t="inlineStr">
        <is>
          <t>internal to report</t>
        </is>
      </c>
      <c r="H60" s="2" t="inlineStr">
        <is>
          <t>Needs &gt;=5 clean scheduled days/week else INSUFFICIENT_DATA; fresh install -&gt; BASELINE.</t>
        </is>
      </c>
      <c r="I60" s="2" t="inlineStr">
        <is>
          <t>Documented</t>
        </is>
      </c>
      <c r="J60" s="13" t="inlineStr">
        <is>
          <t>PASS</t>
        </is>
      </c>
      <c r="K60" s="2" t="inlineStr"/>
      <c r="L60" s="2" t="inlineStr"/>
      <c r="M60" s="13" t="inlineStr">
        <is>
          <t>PASS (re-verified green)</t>
        </is>
      </c>
    </row>
    <row r="61">
      <c r="A61" s="2" t="inlineStr">
        <is>
          <t>US-060</t>
        </is>
      </c>
      <c r="B61" s="7" t="inlineStr">
        <is>
          <t>Config</t>
        </is>
      </c>
      <c r="C61" s="2" t="inlineStr">
        <is>
          <t>Settings validation</t>
        </is>
      </c>
      <c r="D61" s="2" t="inlineStr">
        <is>
          <t>settings.Settings</t>
        </is>
      </c>
      <c r="E61" s="2" t="inlineStr">
        <is>
          <t>As an operator, invalid config is rejected early.</t>
        </is>
      </c>
      <c r="F61" s="2" t="inlineStr">
        <is>
          <t>database_url required; collection_hour_utc 0-23; timeout&gt;0; retries&gt;=0; page bounds enforced.</t>
        </is>
      </c>
      <c r="G61" s="2" t="inlineStr">
        <is>
          <t>loaded from .env</t>
        </is>
      </c>
      <c r="H61" s="2" t="inlineStr">
        <is>
          <t>Missing DATABASE_URL raises at Settings().</t>
        </is>
      </c>
      <c r="I61" s="2" t="inlineStr">
        <is>
          <t>Documented</t>
        </is>
      </c>
      <c r="J61" s="13" t="inlineStr">
        <is>
          <t>PASS</t>
        </is>
      </c>
      <c r="K61" s="2" t="inlineStr"/>
      <c r="L61" s="2" t="inlineStr"/>
      <c r="M61" s="13" t="inlineStr">
        <is>
          <t>PASS (re-verified green)</t>
        </is>
      </c>
    </row>
    <row r="62">
      <c r="A62" s="2" t="inlineStr">
        <is>
          <t>US-061</t>
        </is>
      </c>
      <c r="B62" s="7" t="inlineStr">
        <is>
          <t>Config</t>
        </is>
      </c>
      <c r="C62" s="2" t="inlineStr">
        <is>
          <t>Seed configuration</t>
        </is>
      </c>
      <c r="D62" s="2" t="inlineStr">
        <is>
          <t>db.queries.seed_config</t>
        </is>
      </c>
      <c r="E62" s="2" t="inlineStr">
        <is>
          <t>As an operator, titles/servers/outlets are seeded idempotently.</t>
        </is>
      </c>
      <c r="F62" s="2" t="inlineStr">
        <is>
          <t>Upserts titles, discord_servers, press sources from config files.</t>
        </is>
      </c>
      <c r="G62" s="2" t="inlineStr">
        <is>
          <t>python main.py migrate</t>
        </is>
      </c>
      <c r="H62" s="2" t="inlineStr">
        <is>
          <t>Config files parsed as JSON; ON CONFLICT updates.</t>
        </is>
      </c>
      <c r="I62" s="2" t="inlineStr">
        <is>
          <t>Documented</t>
        </is>
      </c>
      <c r="J62" s="13" t="inlineStr">
        <is>
          <t>PASS</t>
        </is>
      </c>
      <c r="K62" s="2" t="inlineStr"/>
      <c r="L62" s="2" t="inlineStr"/>
      <c r="M62" s="13" t="inlineStr">
        <is>
          <t>PASS (re-verified green)</t>
        </is>
      </c>
    </row>
    <row r="63">
      <c r="A63" s="2" t="inlineStr">
        <is>
          <t>US-062</t>
        </is>
      </c>
      <c r="B63" s="8" t="inlineStr">
        <is>
          <t>Control Center</t>
        </is>
      </c>
      <c r="C63" s="2" t="inlineStr">
        <is>
          <t>Open dashboard</t>
        </is>
      </c>
      <c r="D63" s="2" t="inlineStr">
        <is>
          <t>control_center serve-ui + main</t>
        </is>
      </c>
      <c r="E63" s="2" t="inlineStr">
        <is>
          <t>As a user, I open the local dashboard in my browser.</t>
        </is>
      </c>
      <c r="F63" s="2" t="inlineStr">
        <is>
          <t>Binds 127.0.0.1:8765, serves single-page UI with fresh session token, auto-opens browser.</t>
        </is>
      </c>
      <c r="G63" s="2" t="inlineStr">
        <is>
          <t>double-click Open / python control_center.py</t>
        </is>
      </c>
      <c r="H63" s="2" t="inlineStr">
        <is>
          <t>Port in use -&gt; friendly SystemExit.</t>
        </is>
      </c>
      <c r="I63" s="2" t="inlineStr">
        <is>
          <t>Documented</t>
        </is>
      </c>
      <c r="J63" s="13" t="inlineStr">
        <is>
          <t>PASS</t>
        </is>
      </c>
      <c r="K63" s="2" t="inlineStr"/>
      <c r="L63" s="2" t="inlineStr"/>
      <c r="M63" s="13" t="inlineStr">
        <is>
          <t>PASS (re-verified green)</t>
        </is>
      </c>
    </row>
    <row r="64">
      <c r="A64" s="2" t="inlineStr">
        <is>
          <t>US-063</t>
        </is>
      </c>
      <c r="B64" s="8" t="inlineStr">
        <is>
          <t>Control Center</t>
        </is>
      </c>
      <c r="C64" s="2" t="inlineStr">
        <is>
          <t>System check</t>
        </is>
      </c>
      <c r="D64" s="2" t="inlineStr">
        <is>
          <t>control_center.health /api/status</t>
        </is>
      </c>
      <c r="E64" s="2" t="inlineStr">
        <is>
          <t>As a user, I see readiness and which connectors are configured.</t>
        </is>
      </c>
      <c r="F64" s="2" t="inlineStr">
        <is>
          <t>Shows Setup file, Database, and optional connector statuses; readiness gated on DB.</t>
        </is>
      </c>
      <c r="G64" s="2" t="inlineStr">
        <is>
          <t>UI loads / 'Check again'</t>
        </is>
      </c>
      <c r="H64" s="2" t="inlineStr">
        <is>
          <t>Only cred presence checked, not live validity.</t>
        </is>
      </c>
      <c r="I64" s="2" t="inlineStr">
        <is>
          <t>Documented</t>
        </is>
      </c>
      <c r="J64" s="13" t="inlineStr">
        <is>
          <t>PASS</t>
        </is>
      </c>
      <c r="K64" s="2" t="inlineStr"/>
      <c r="L64" s="2" t="inlineStr"/>
      <c r="M64" s="13" t="inlineStr">
        <is>
          <t>PASS (re-verified green)</t>
        </is>
      </c>
    </row>
    <row r="65">
      <c r="A65" s="2" t="inlineStr">
        <is>
          <t>US-064</t>
        </is>
      </c>
      <c r="B65" s="8" t="inlineStr">
        <is>
          <t>Control Center</t>
        </is>
      </c>
      <c r="C65" s="2" t="inlineStr">
        <is>
          <t>Save setup</t>
        </is>
      </c>
      <c r="D65" s="2" t="inlineStr">
        <is>
          <t>control_center.save_settings /api/settings</t>
        </is>
      </c>
      <c r="E65" s="2" t="inlineStr">
        <is>
          <t>As a user, I save the database address and optional credentials.</t>
        </is>
      </c>
      <c r="F65" s="2" t="inlineStr">
        <is>
          <t>Validates DB required + hour 0-23; writes .env at 0600; blank fields preserve existing secrets.</t>
        </is>
      </c>
      <c r="G65" s="2" t="inlineStr">
        <is>
          <t>Setup dialog 'Save and prepare database'</t>
        </is>
      </c>
      <c r="H65" s="2" t="inlineStr">
        <is>
          <t>Blank credential = keep saved. Only whitelisted keys written.</t>
        </is>
      </c>
      <c r="I65" s="2" t="inlineStr">
        <is>
          <t>Documented</t>
        </is>
      </c>
      <c r="J65" s="13" t="inlineStr">
        <is>
          <t>PASS</t>
        </is>
      </c>
      <c r="K65" s="2" t="inlineStr"/>
      <c r="L65" s="2" t="inlineStr"/>
      <c r="M65" s="13" t="inlineStr">
        <is>
          <t>PASS (re-verified green)</t>
        </is>
      </c>
    </row>
    <row r="66">
      <c r="A66" s="2" t="inlineStr">
        <is>
          <t>US-065</t>
        </is>
      </c>
      <c r="B66" s="8" t="inlineStr">
        <is>
          <t>Control Center</t>
        </is>
      </c>
      <c r="C66" s="2" t="inlineStr">
        <is>
          <t>Get fresh signals</t>
        </is>
      </c>
      <c r="D66" s="2" t="inlineStr">
        <is>
          <t>control_center /api/run pulse</t>
        </is>
      </c>
      <c r="E66" s="2" t="inlineStr">
        <is>
          <t>As a user, I collect fresh signals now.</t>
        </is>
      </c>
      <c r="F66" s="2" t="inlineStr">
        <is>
          <t>Starts a background pulse subprocess; UI polls job status until done.</t>
        </is>
      </c>
      <c r="G66" s="2" t="inlineStr">
        <is>
          <t>'Get fresh signals' button</t>
        </is>
      </c>
      <c r="H66" s="2" t="inlineStr">
        <is>
          <t>Gated on state.ready else opens Setup. 30-min timeout.</t>
        </is>
      </c>
      <c r="I66" s="2" t="inlineStr">
        <is>
          <t>Documented</t>
        </is>
      </c>
      <c r="J66" s="13" t="inlineStr">
        <is>
          <t>PASS</t>
        </is>
      </c>
      <c r="K66" s="2" t="inlineStr"/>
      <c r="L66" s="2" t="inlineStr"/>
      <c r="M66" s="13" t="inlineStr">
        <is>
          <t>PASS (re-verified green)</t>
        </is>
      </c>
    </row>
    <row r="67">
      <c r="A67" s="2" t="inlineStr">
        <is>
          <t>US-066</t>
        </is>
      </c>
      <c r="B67" s="8" t="inlineStr">
        <is>
          <t>Control Center</t>
        </is>
      </c>
      <c r="C67" s="2" t="inlineStr">
        <is>
          <t>Collect everything</t>
        </is>
      </c>
      <c r="D67" s="2" t="inlineStr">
        <is>
          <t>control_center /api/run collect</t>
        </is>
      </c>
      <c r="E67" s="2" t="inlineStr">
        <is>
          <t>As a user, I run a full collection snapshot.</t>
        </is>
      </c>
      <c r="F67" s="2" t="inlineStr">
        <is>
          <t>Starts background collect-all subprocess.</t>
        </is>
      </c>
      <c r="G67" s="2" t="inlineStr">
        <is>
          <t>'Collect everything' button</t>
        </is>
      </c>
      <c r="H67" s="2" t="inlineStr">
        <is>
          <t>Gated on ready.</t>
        </is>
      </c>
      <c r="I67" s="2" t="inlineStr">
        <is>
          <t>Documented</t>
        </is>
      </c>
      <c r="J67" s="13" t="inlineStr">
        <is>
          <t>PASS</t>
        </is>
      </c>
      <c r="K67" s="2" t="inlineStr"/>
      <c r="L67" s="2" t="inlineStr"/>
      <c r="M67" s="13" t="inlineStr">
        <is>
          <t>PASS (re-verified green)</t>
        </is>
      </c>
    </row>
    <row r="68">
      <c r="A68" s="2" t="inlineStr">
        <is>
          <t>US-067</t>
        </is>
      </c>
      <c r="B68" s="8" t="inlineStr">
        <is>
          <t>Control Center</t>
        </is>
      </c>
      <c r="C68" s="2" t="inlineStr">
        <is>
          <t>Create weekly report</t>
        </is>
      </c>
      <c r="D68" s="2" t="inlineStr">
        <is>
          <t>control_center /api/run report</t>
        </is>
      </c>
      <c r="E68" s="2" t="inlineStr">
        <is>
          <t>As a user, I generate this week's report.</t>
        </is>
      </c>
      <c r="F68" s="2" t="inlineStr">
        <is>
          <t>Starts background report subprocess for the current Monday week.</t>
        </is>
      </c>
      <c r="G68" s="2" t="inlineStr">
        <is>
          <t>'Create weekly report' button</t>
        </is>
      </c>
      <c r="H68" s="2" t="inlineStr">
        <is>
          <t>Gated on ready.</t>
        </is>
      </c>
      <c r="I68" s="2" t="inlineStr">
        <is>
          <t>Documented</t>
        </is>
      </c>
      <c r="J68" s="13" t="inlineStr">
        <is>
          <t>PASS</t>
        </is>
      </c>
      <c r="K68" s="2" t="inlineStr"/>
      <c r="L68" s="2" t="inlineStr"/>
      <c r="M68" s="13" t="inlineStr">
        <is>
          <t>PASS (re-verified green)</t>
        </is>
      </c>
    </row>
    <row r="69">
      <c r="A69" s="2" t="inlineStr">
        <is>
          <t>US-068</t>
        </is>
      </c>
      <c r="B69" s="8" t="inlineStr">
        <is>
          <t>Control Center</t>
        </is>
      </c>
      <c r="C69" s="2" t="inlineStr">
        <is>
          <t>Open report/folder</t>
        </is>
      </c>
      <c r="D69" s="2" t="inlineStr">
        <is>
          <t>control_center.open_path /api/open</t>
        </is>
      </c>
      <c r="E69" s="2" t="inlineStr">
        <is>
          <t>As a user, I open a report or the output folder in my file browser.</t>
        </is>
      </c>
      <c r="F69" s="2" t="inlineStr">
        <is>
          <t>Opens weekly/fresh/output/research target cross-platform.</t>
        </is>
      </c>
      <c r="G69" s="2" t="inlineStr">
        <is>
          <t>'Open weekly/fresh/output' + per-job 'Open folder'</t>
        </is>
      </c>
      <c r="H69" s="2" t="inlineStr">
        <is>
          <t>No report -&gt; friendly error. research kind re-exports first.</t>
        </is>
      </c>
      <c r="I69" s="2" t="inlineStr">
        <is>
          <t>Documented</t>
        </is>
      </c>
      <c r="J69" s="13" t="inlineStr">
        <is>
          <t>PASS</t>
        </is>
      </c>
      <c r="K69" s="2" t="inlineStr"/>
      <c r="L69" s="2" t="inlineStr">
        <is>
          <t>'Open folder' for a research job now opens the existing folder via job_folder(); exports only when the folder is absent (no longer re-exports on every click).</t>
        </is>
      </c>
      <c r="M69" s="13" t="inlineStr">
        <is>
          <t>PASS (test_open_research_folder_reuses_existing_export)</t>
        </is>
      </c>
    </row>
    <row r="70">
      <c r="A70" s="2" t="inlineStr">
        <is>
          <t>US-069</t>
        </is>
      </c>
      <c r="B70" s="8" t="inlineStr">
        <is>
          <t>Control Center</t>
        </is>
      </c>
      <c r="C70" s="2" t="inlineStr">
        <is>
          <t>Research jobs panel</t>
        </is>
      </c>
      <c r="D70" s="2" t="inlineStr">
        <is>
          <t>control_center /api/research/jobs + export</t>
        </is>
      </c>
      <c r="E70" s="2" t="inlineStr">
        <is>
          <t>As a user, I list research jobs and export any to files.</t>
        </is>
      </c>
      <c r="F70" s="2" t="inlineStr">
        <is>
          <t>Lists up to 50 jobs; per-job Export writes folder; Open opens it.</t>
        </is>
      </c>
      <c r="G70" s="2" t="inlineStr">
        <is>
          <t>Research jobs panel buttons</t>
        </is>
      </c>
      <c r="H70" s="2" t="inlineStr">
        <is>
          <t>Export requires X-Pulse-Token. job_id&lt;=0 rejected.</t>
        </is>
      </c>
      <c r="I70" s="2" t="inlineStr">
        <is>
          <t>Documented</t>
        </is>
      </c>
      <c r="J70" s="13" t="inlineStr">
        <is>
          <t>PASS</t>
        </is>
      </c>
      <c r="K70" s="2" t="inlineStr"/>
      <c r="L70" s="2" t="inlineStr"/>
      <c r="M70" s="13" t="inlineStr">
        <is>
          <t>PASS (re-verified green)</t>
        </is>
      </c>
    </row>
    <row r="71">
      <c r="A71" s="2" t="inlineStr">
        <is>
          <t>US-070</t>
        </is>
      </c>
      <c r="B71" s="8" t="inlineStr">
        <is>
          <t>Control Center</t>
        </is>
      </c>
      <c r="C71" s="2" t="inlineStr">
        <is>
          <t>Create pairing code</t>
        </is>
      </c>
      <c r="D71" s="2" t="inlineStr">
        <is>
          <t>control_center /api/capture/pairing-code</t>
        </is>
      </c>
      <c r="E71" s="2" t="inlineStr">
        <is>
          <t>As a user, I create a one-time code to pair the extension.</t>
        </is>
      </c>
      <c r="F71" s="2" t="inlineStr">
        <is>
          <t>Returns a 10-min single-use code shown in the UI.</t>
        </is>
      </c>
      <c r="G71" s="2" t="inlineStr">
        <is>
          <t>'Create one-time pairing code' button</t>
        </is>
      </c>
      <c r="H71" s="2" t="inlineStr">
        <is>
          <t>Gated on ready else opens Setup.</t>
        </is>
      </c>
      <c r="I71" s="2" t="inlineStr">
        <is>
          <t>Documented</t>
        </is>
      </c>
      <c r="J71" s="13" t="inlineStr">
        <is>
          <t>PASS</t>
        </is>
      </c>
      <c r="K71" s="2" t="inlineStr"/>
      <c r="L71" s="2" t="inlineStr"/>
      <c r="M71" s="13" t="inlineStr">
        <is>
          <t>PASS (re-verified green)</t>
        </is>
      </c>
    </row>
    <row r="72">
      <c r="A72" s="2" t="inlineStr">
        <is>
          <t>US-071</t>
        </is>
      </c>
      <c r="B72" s="8" t="inlineStr">
        <is>
          <t>Control Center</t>
        </is>
      </c>
      <c r="C72" s="2" t="inlineStr">
        <is>
          <t>Job progress polling</t>
        </is>
      </c>
      <c r="D72" s="2" t="inlineStr">
        <is>
          <t>control_center start_job/run_job /api/job</t>
        </is>
      </c>
      <c r="E72" s="2" t="inlineStr">
        <is>
          <t>As a user, I see live progress of a running action.</t>
        </is>
      </c>
      <c r="F72" s="2" t="inlineStr">
        <is>
          <t>Background thread runs subprocess; UI polls /api/job every 1s until non-running.</t>
        </is>
      </c>
      <c r="G72" s="2" t="inlineStr">
        <is>
          <t>automatic after run</t>
        </is>
      </c>
      <c r="H72" s="2" t="inlineStr">
        <is>
          <t>Unknown job id -&gt; 404. Details capped 4000 chars.</t>
        </is>
      </c>
      <c r="I72" s="2" t="inlineStr">
        <is>
          <t>Documented</t>
        </is>
      </c>
      <c r="J72" s="13" t="inlineStr">
        <is>
          <t>PASS</t>
        </is>
      </c>
      <c r="K72" s="2" t="inlineStr"/>
      <c r="L72" s="2" t="inlineStr"/>
      <c r="M72" s="13" t="inlineStr">
        <is>
          <t>PASS (re-verified green)</t>
        </is>
      </c>
    </row>
    <row r="73">
      <c r="A73" s="2" t="inlineStr">
        <is>
          <t>US-072</t>
        </is>
      </c>
      <c r="B73" s="8" t="inlineStr">
        <is>
          <t>Control Center</t>
        </is>
      </c>
      <c r="C73" s="2" t="inlineStr">
        <is>
          <t>Session token security</t>
        </is>
      </c>
      <c r="D73" s="2" t="inlineStr">
        <is>
          <t>control_center X-Pulse-Token</t>
        </is>
      </c>
      <c r="E73" s="2" t="inlineStr">
        <is>
          <t>As a user, stale dashboard sessions can't mutate state.</t>
        </is>
      </c>
      <c r="F73" s="2" t="inlineStr">
        <is>
          <t>Mutating POSTs require the per-process token; after restart the old page gets 403 refresh prompt.</t>
        </is>
      </c>
      <c r="G73" s="2" t="inlineStr">
        <is>
          <t>any mutating action</t>
        </is>
      </c>
      <c r="H73" s="2" t="inlineStr">
        <is>
          <t>Token rotates each restart.</t>
        </is>
      </c>
      <c r="I73" s="2" t="inlineStr">
        <is>
          <t>Documented</t>
        </is>
      </c>
      <c r="J73" s="13" t="inlineStr">
        <is>
          <t>PASS</t>
        </is>
      </c>
      <c r="K73" s="2" t="inlineStr"/>
      <c r="L73" s="2" t="inlineStr"/>
      <c r="M73" s="13" t="inlineStr">
        <is>
          <t>PASS (re-verified green)</t>
        </is>
      </c>
    </row>
    <row r="74">
      <c r="A74" s="2" t="inlineStr">
        <is>
          <t>US-073</t>
        </is>
      </c>
      <c r="B74" s="8" t="inlineStr">
        <is>
          <t>Control Center</t>
        </is>
      </c>
      <c r="C74" s="2" t="inlineStr">
        <is>
          <t>Origin/host guard</t>
        </is>
      </c>
      <c r="D74" s="2" t="inlineStr">
        <is>
          <t>control_center.capture_client + do_OPTIONS</t>
        </is>
      </c>
      <c r="E74" s="2" t="inlineStr">
        <is>
          <t>As an operator, only the paired extension origin and exact local host are accepted.</t>
        </is>
      </c>
      <c r="F74" s="2" t="inlineStr">
        <is>
          <t>Capture requests require exact Host + chrome-extension origin; CORS preflight limited to that origin.</t>
        </is>
      </c>
      <c r="G74" s="2" t="inlineStr">
        <is>
          <t>extension requests</t>
        </is>
      </c>
      <c r="H74" s="2" t="inlineStr">
        <is>
          <t>Hostile origin/host -&gt; 403.</t>
        </is>
      </c>
      <c r="I74" s="2" t="inlineStr">
        <is>
          <t>Documented</t>
        </is>
      </c>
      <c r="J74" s="13" t="inlineStr">
        <is>
          <t>PASS</t>
        </is>
      </c>
      <c r="K74" s="2" t="inlineStr"/>
      <c r="L74" s="2" t="inlineStr"/>
      <c r="M74" s="13" t="inlineStr">
        <is>
          <t>PASS (re-verified green)</t>
        </is>
      </c>
    </row>
    <row r="75">
      <c r="A75" s="2" t="inlineStr">
        <is>
          <t>US-074</t>
        </is>
      </c>
      <c r="B75" s="8" t="inlineStr">
        <is>
          <t>Control Center</t>
        </is>
      </c>
      <c r="C75" s="2" t="inlineStr">
        <is>
          <t>Rate limiting</t>
        </is>
      </c>
      <c r="D75" s="2" t="inlineStr">
        <is>
          <t>control_center.enforce_rate</t>
        </is>
      </c>
      <c r="E75" s="2" t="inlineStr">
        <is>
          <t>As an operator, capture and pairing endpoints are rate-limited.</t>
        </is>
      </c>
      <c r="F75" s="2" t="inlineStr">
        <is>
          <t>Sliding 60s window: capture 120/min per token, pair 10/min per extension id.</t>
        </is>
      </c>
      <c r="G75" s="2" t="inlineStr">
        <is>
          <t>capture/pair requests</t>
        </is>
      </c>
      <c r="H75" s="2" t="inlineStr">
        <is>
          <t>Exceed -&gt; 'Too many' 403.</t>
        </is>
      </c>
      <c r="I75" s="2" t="inlineStr">
        <is>
          <t>Documented</t>
        </is>
      </c>
      <c r="J75" s="13" t="inlineStr">
        <is>
          <t>PASS</t>
        </is>
      </c>
      <c r="K75" s="2" t="inlineStr"/>
      <c r="L75" s="2" t="inlineStr"/>
      <c r="M75" s="13" t="inlineStr">
        <is>
          <t>PASS (re-verified green)</t>
        </is>
      </c>
    </row>
    <row r="76">
      <c r="A76" s="2" t="inlineStr">
        <is>
          <t>US-075</t>
        </is>
      </c>
      <c r="B76" s="3" t="inlineStr">
        <is>
          <t>Extension Options</t>
        </is>
      </c>
      <c r="C76" s="2" t="inlineStr">
        <is>
          <t>Pair browser</t>
        </is>
      </c>
      <c r="D76" s="2" t="inlineStr">
        <is>
          <t>options.pair</t>
        </is>
      </c>
      <c r="E76" s="2" t="inlineStr">
        <is>
          <t>As a user, I pair the extension with a one-time code.</t>
        </is>
      </c>
      <c r="F76" s="2" t="inlineStr">
        <is>
          <t>POSTs code to /api/capture/pair, stores token+baseUrl.</t>
        </is>
      </c>
      <c r="G76" s="2" t="inlineStr">
        <is>
          <t>Options 'Pair browser'</t>
        </is>
      </c>
      <c r="H76" s="2" t="inlineStr">
        <is>
          <t>Empty code -&gt; error. baseUrl forced local http.</t>
        </is>
      </c>
      <c r="I76" s="2" t="inlineStr">
        <is>
          <t>Documented</t>
        </is>
      </c>
      <c r="J76" s="13" t="inlineStr">
        <is>
          <t>PASS</t>
        </is>
      </c>
      <c r="K76" s="2" t="inlineStr"/>
      <c r="L76" s="2" t="inlineStr"/>
      <c r="M76" s="13" t="inlineStr">
        <is>
          <t>PASS (re-verified green)</t>
        </is>
      </c>
    </row>
    <row r="77">
      <c r="A77" s="2" t="inlineStr">
        <is>
          <t>US-076</t>
        </is>
      </c>
      <c r="B77" s="3" t="inlineStr">
        <is>
          <t>Extension Options</t>
        </is>
      </c>
      <c r="C77" s="2" t="inlineStr">
        <is>
          <t>Unpair browser</t>
        </is>
      </c>
      <c r="D77" s="2" t="inlineStr">
        <is>
          <t>options.unpair</t>
        </is>
      </c>
      <c r="E77" s="2" t="inlineStr">
        <is>
          <t>As a user, I unpair and revoke this browser.</t>
        </is>
      </c>
      <c r="F77" s="2" t="inlineStr">
        <is>
          <t>Confirms, calls revoke, clears token/job/candidates.</t>
        </is>
      </c>
      <c r="G77" s="2" t="inlineStr">
        <is>
          <t>Options 'Unpair'</t>
        </is>
      </c>
      <c r="H77" s="2" t="inlineStr">
        <is>
          <t>Revoke failure keeps token.</t>
        </is>
      </c>
      <c r="I77" s="2" t="inlineStr">
        <is>
          <t>Documented</t>
        </is>
      </c>
      <c r="J77" s="13" t="inlineStr">
        <is>
          <t>PASS</t>
        </is>
      </c>
      <c r="K77" s="2" t="inlineStr"/>
      <c r="L77" s="2" t="inlineStr"/>
      <c r="M77" s="13" t="inlineStr">
        <is>
          <t>PASS (re-verified green)</t>
        </is>
      </c>
    </row>
    <row r="78">
      <c r="A78" s="2" t="inlineStr">
        <is>
          <t>US-077</t>
        </is>
      </c>
      <c r="B78" s="3" t="inlineStr">
        <is>
          <t>Extension Options</t>
        </is>
      </c>
      <c r="C78" s="2" t="inlineStr">
        <is>
          <t>Save options</t>
        </is>
      </c>
      <c r="D78" s="2" t="inlineStr">
        <is>
          <t>options.save</t>
        </is>
      </c>
      <c r="E78" s="2" t="inlineStr">
        <is>
          <t>As a user, I set base URL, anonymize default, and max candidates.</t>
        </is>
      </c>
      <c r="F78" s="2" t="inlineStr">
        <is>
          <t>Persists settings; maxCandidates clamped 1-25.</t>
        </is>
      </c>
      <c r="G78" s="2" t="inlineStr">
        <is>
          <t>Options 'Save settings'</t>
        </is>
      </c>
      <c r="H78" s="2" t="inlineStr">
        <is>
          <t>Invalid baseUrl -&gt; error.</t>
        </is>
      </c>
      <c r="I78" s="2" t="inlineStr">
        <is>
          <t>Documented</t>
        </is>
      </c>
      <c r="J78" s="13" t="inlineStr">
        <is>
          <t>PASS</t>
        </is>
      </c>
      <c r="K78" s="2" t="inlineStr"/>
      <c r="L78" s="2" t="inlineStr"/>
      <c r="M78" s="13" t="inlineStr">
        <is>
          <t>PASS (re-verified green)</t>
        </is>
      </c>
    </row>
    <row r="79">
      <c r="A79" s="2" t="inlineStr">
        <is>
          <t>US-078</t>
        </is>
      </c>
      <c r="B79" s="4" t="inlineStr">
        <is>
          <t>Extension Popup</t>
        </is>
      </c>
      <c r="C79" s="2" t="inlineStr">
        <is>
          <t>Load jobs</t>
        </is>
      </c>
      <c r="D79" s="2" t="inlineStr">
        <is>
          <t>popup.loadJobs</t>
        </is>
      </c>
      <c r="E79" s="2" t="inlineStr">
        <is>
          <t>As a researcher, I pick the active research job.</t>
        </is>
      </c>
      <c r="F79" s="2" t="inlineStr">
        <is>
          <t>Fetches active jobs into the dropdown.</t>
        </is>
      </c>
      <c r="G79" s="2" t="inlineStr">
        <is>
          <t>popup open / refresh</t>
        </is>
      </c>
      <c r="H79" s="2" t="inlineStr">
        <is>
          <t>No token -&gt; 'Pair this extension in Settings first.'</t>
        </is>
      </c>
      <c r="I79" s="2" t="inlineStr">
        <is>
          <t>Documented</t>
        </is>
      </c>
      <c r="J79" s="13" t="inlineStr">
        <is>
          <t>PASS</t>
        </is>
      </c>
      <c r="K79" s="2" t="inlineStr"/>
      <c r="L79" s="2" t="inlineStr"/>
      <c r="M79" s="13" t="inlineStr">
        <is>
          <t>PASS (re-verified green)</t>
        </is>
      </c>
    </row>
    <row r="80">
      <c r="A80" s="2" t="inlineStr">
        <is>
          <t>US-079</t>
        </is>
      </c>
      <c r="B80" s="4" t="inlineStr">
        <is>
          <t>Extension Popup</t>
        </is>
      </c>
      <c r="C80" s="2" t="inlineStr">
        <is>
          <t>Load mission</t>
        </is>
      </c>
      <c r="D80" s="2" t="inlineStr">
        <is>
          <t>popup.loadMission</t>
        </is>
      </c>
      <c r="E80" s="2" t="inlineStr">
        <is>
          <t>As a researcher, I see the mission questions and look-for terms.</t>
        </is>
      </c>
      <c r="F80" s="2" t="inlineStr">
        <is>
          <t>Fetches mission, fills question dropdown and mission text.</t>
        </is>
      </c>
      <c r="G80" s="2" t="inlineStr">
        <is>
          <t>after selecting a job</t>
        </is>
      </c>
      <c r="H80" s="2" t="inlineStr">
        <is>
          <t>No job -&gt; disabled question.</t>
        </is>
      </c>
      <c r="I80" s="2" t="inlineStr">
        <is>
          <t>Documented</t>
        </is>
      </c>
      <c r="J80" s="13" t="inlineStr">
        <is>
          <t>PASS</t>
        </is>
      </c>
      <c r="K80" s="2" t="inlineStr"/>
      <c r="L80" s="2" t="inlineStr"/>
      <c r="M80" s="13" t="inlineStr">
        <is>
          <t>PASS (re-verified green)</t>
        </is>
      </c>
    </row>
    <row r="81">
      <c r="A81" s="2" t="inlineStr">
        <is>
          <t>US-080</t>
        </is>
      </c>
      <c r="B81" s="4" t="inlineStr">
        <is>
          <t>Extension Popup</t>
        </is>
      </c>
      <c r="C81" s="2" t="inlineStr">
        <is>
          <t>Scan visible</t>
        </is>
      </c>
      <c r="D81" s="2" t="inlineStr">
        <is>
          <t>popup.scan + content.js</t>
        </is>
      </c>
      <c r="E81" s="2" t="inlineStr">
        <is>
          <t>As a researcher, I queue visible on-page passages matching the mission.</t>
        </is>
      </c>
      <c r="F81" s="2" t="inlineStr">
        <is>
          <t>Injects content.js, scans visible passages, queues candidates for review.</t>
        </is>
      </c>
      <c r="G81" s="2" t="inlineStr">
        <is>
          <t>'Find visible candidates'</t>
        </is>
      </c>
      <c r="H81" s="2" t="inlineStr">
        <is>
          <t>Blocked when stopped/no job/non-http tab; caps at 25; no match -&gt; warning.</t>
        </is>
      </c>
      <c r="I81" s="2" t="inlineStr">
        <is>
          <t>Documented</t>
        </is>
      </c>
      <c r="J81" s="13" t="inlineStr">
        <is>
          <t>PASS</t>
        </is>
      </c>
      <c r="K81" s="2" t="inlineStr"/>
      <c r="L81" s="2" t="inlineStr"/>
      <c r="M81" s="13" t="inlineStr">
        <is>
          <t>PASS (re-verified green)</t>
        </is>
      </c>
    </row>
    <row r="82">
      <c r="A82" s="2" t="inlineStr">
        <is>
          <t>US-081</t>
        </is>
      </c>
      <c r="B82" s="4" t="inlineStr">
        <is>
          <t>Extension Popup</t>
        </is>
      </c>
      <c r="C82" s="2" t="inlineStr">
        <is>
          <t>Right-click capture</t>
        </is>
      </c>
      <c r="D82" s="2" t="inlineStr">
        <is>
          <t>background context-menu-review</t>
        </is>
      </c>
      <c r="E82" s="2" t="inlineStr">
        <is>
          <t>As a researcher, I queue a highlighted selection for review.</t>
        </is>
      </c>
      <c r="F82" s="2" t="inlineStr">
        <is>
          <t>Context menu queues the selection as a candidate, badge '1'.</t>
        </is>
      </c>
      <c r="G82" s="2" t="inlineStr">
        <is>
          <t>right-click 'Review in Research Oyster'</t>
        </is>
      </c>
      <c r="H82" s="2" t="inlineStr">
        <is>
          <t>Blocked if stopped or no active job.</t>
        </is>
      </c>
      <c r="I82" s="2" t="inlineStr">
        <is>
          <t>Documented</t>
        </is>
      </c>
      <c r="J82" s="13" t="inlineStr">
        <is>
          <t>PASS</t>
        </is>
      </c>
      <c r="K82" s="2" t="inlineStr"/>
      <c r="L82" s="2" t="inlineStr"/>
      <c r="M82" s="13" t="inlineStr">
        <is>
          <t>PASS (re-verified green)</t>
        </is>
      </c>
    </row>
    <row r="83">
      <c r="A83" s="2" t="inlineStr">
        <is>
          <t>US-082</t>
        </is>
      </c>
      <c r="B83" s="4" t="inlineStr">
        <is>
          <t>Extension Popup</t>
        </is>
      </c>
      <c r="C83" s="2" t="inlineStr">
        <is>
          <t>Review approve</t>
        </is>
      </c>
      <c r="D83" s="2" t="inlineStr">
        <is>
          <t>popup.approve</t>
        </is>
      </c>
      <c r="E83" s="2" t="inlineStr">
        <is>
          <t>As a researcher, I approve one candidate to save it as evidence.</t>
        </is>
      </c>
      <c r="F83" s="2" t="inlineStr">
        <is>
          <t>POSTs approval; only Approve saves; removes card.</t>
        </is>
      </c>
      <c r="G83" s="2" t="inlineStr">
        <is>
          <t>'Approve &amp; save'</t>
        </is>
      </c>
      <c r="H83" s="2" t="inlineStr">
        <is>
          <t>Blocked if candidate job != active job; empty excerpt blocked.</t>
        </is>
      </c>
      <c r="I83" s="2" t="inlineStr">
        <is>
          <t>Documented</t>
        </is>
      </c>
      <c r="J83" s="13" t="inlineStr">
        <is>
          <t>PASS</t>
        </is>
      </c>
      <c r="K83" s="2" t="inlineStr"/>
      <c r="L83" s="2" t="inlineStr"/>
      <c r="M83" s="13" t="inlineStr">
        <is>
          <t>PASS (re-verified green)</t>
        </is>
      </c>
    </row>
    <row r="84">
      <c r="A84" s="2" t="inlineStr">
        <is>
          <t>US-083</t>
        </is>
      </c>
      <c r="B84" s="4" t="inlineStr">
        <is>
          <t>Extension Popup</t>
        </is>
      </c>
      <c r="C84" s="2" t="inlineStr">
        <is>
          <t>Review reject/clear</t>
        </is>
      </c>
      <c r="D84" s="2" t="inlineStr">
        <is>
          <t>popup.reject/clearAll</t>
        </is>
      </c>
      <c r="E84" s="2" t="inlineStr">
        <is>
          <t>As a researcher, I discard candidates locally.</t>
        </is>
      </c>
      <c r="F84" s="2" t="inlineStr">
        <is>
          <t>Reject removes one; Clear all discards the queue (confirm).</t>
        </is>
      </c>
      <c r="G84" s="2" t="inlineStr">
        <is>
          <t>'Reject' / 'Clear all'</t>
        </is>
      </c>
      <c r="H84" s="2" t="inlineStr">
        <is>
          <t>No server call; queue local.</t>
        </is>
      </c>
      <c r="I84" s="2" t="inlineStr">
        <is>
          <t>Documented</t>
        </is>
      </c>
      <c r="J84" s="13" t="inlineStr">
        <is>
          <t>PASS</t>
        </is>
      </c>
      <c r="K84" s="2" t="inlineStr"/>
      <c r="L84" s="2" t="inlineStr"/>
      <c r="M84" s="13" t="inlineStr">
        <is>
          <t>PASS (re-verified green)</t>
        </is>
      </c>
    </row>
    <row r="85">
      <c r="A85" s="2" t="inlineStr">
        <is>
          <t>US-084</t>
        </is>
      </c>
      <c r="B85" s="4" t="inlineStr">
        <is>
          <t>Extension Popup</t>
        </is>
      </c>
      <c r="C85" s="2" t="inlineStr">
        <is>
          <t>Stop/resume collection</t>
        </is>
      </c>
      <c r="D85" s="2" t="inlineStr">
        <is>
          <t>popup.toggleStop</t>
        </is>
      </c>
      <c r="E85" s="2" t="inlineStr">
        <is>
          <t>As a researcher, I halt all new captures instantly.</t>
        </is>
      </c>
      <c r="F85" s="2" t="inlineStr">
        <is>
          <t>Toggles global stopped state; blocks scan/context-menu/network capture; queue kept.</t>
        </is>
      </c>
      <c r="G85" s="2" t="inlineStr">
        <is>
          <t>'Stop' / 'Resume'</t>
        </is>
      </c>
      <c r="H85" s="2" t="inlineStr">
        <is>
          <t>Global across capture types.</t>
        </is>
      </c>
      <c r="I85" s="2" t="inlineStr">
        <is>
          <t>Documented</t>
        </is>
      </c>
      <c r="J85" s="13" t="inlineStr">
        <is>
          <t>PASS</t>
        </is>
      </c>
      <c r="K85" s="2" t="inlineStr"/>
      <c r="L85" s="2" t="inlineStr"/>
      <c r="M85" s="13" t="inlineStr">
        <is>
          <t>PASS (re-verified green)</t>
        </is>
      </c>
    </row>
    <row r="86">
      <c r="A86" s="2" t="inlineStr">
        <is>
          <t>US-085</t>
        </is>
      </c>
      <c r="B86" s="4" t="inlineStr">
        <is>
          <t>Extension Popup</t>
        </is>
      </c>
      <c r="C86" s="2" t="inlineStr">
        <is>
          <t>Anonymize toggle</t>
        </is>
      </c>
      <c r="D86" s="2" t="inlineStr">
        <is>
          <t>popup.toggleAnonymize</t>
        </is>
      </c>
      <c r="E86" s="2" t="inlineStr">
        <is>
          <t>As a researcher, I toggle name redaction per candidate.</t>
        </is>
      </c>
      <c r="F86" s="2" t="inlineStr">
        <is>
          <t>Re-derives excerpt from raw via anonymize() or restores raw.</t>
        </is>
      </c>
      <c r="G86" s="2" t="inlineStr">
        <is>
          <t>per-card checkbox</t>
        </is>
      </c>
      <c r="H86" s="2" t="inlineStr">
        <is>
          <t>raw_excerpt is source of truth.</t>
        </is>
      </c>
      <c r="I86" s="2" t="inlineStr">
        <is>
          <t>Documented</t>
        </is>
      </c>
      <c r="J86" s="13" t="inlineStr">
        <is>
          <t>PASS</t>
        </is>
      </c>
      <c r="K86" s="2" t="inlineStr"/>
      <c r="L86" s="2" t="inlineStr"/>
      <c r="M86" s="13" t="inlineStr">
        <is>
          <t>PASS (re-verified green)</t>
        </is>
      </c>
    </row>
    <row r="87">
      <c r="A87" s="2" t="inlineStr">
        <is>
          <t>US-086</t>
        </is>
      </c>
      <c r="B87" s="4" t="inlineStr">
        <is>
          <t>Extension Popup</t>
        </is>
      </c>
      <c r="C87" s="2" t="inlineStr">
        <is>
          <t>Session approve</t>
        </is>
      </c>
      <c r="D87" s="2" t="inlineStr">
        <is>
          <t>popup.approveSession + background.startSession</t>
        </is>
      </c>
      <c r="E87" s="2" t="inlineStr">
        <is>
          <t>As a researcher, I approve a traffic session and start recording.</t>
        </is>
      </c>
      <c r="F87" s="2" t="inlineStr">
        <is>
          <t>Approves session, requests Chrome host permission, injects recorder, sets expiry alarm.</t>
        </is>
      </c>
      <c r="G87" s="2" t="inlineStr">
        <is>
          <t>'Approve (30 min)' on request card</t>
        </is>
      </c>
      <c r="H87" s="2" t="inlineStr">
        <is>
          <t>Declined Chrome permission -&gt; nothing recorded (double consent).</t>
        </is>
      </c>
      <c r="I87" s="2" t="inlineStr">
        <is>
          <t>Documented</t>
        </is>
      </c>
      <c r="J87" s="13" t="inlineStr">
        <is>
          <t>PASS</t>
        </is>
      </c>
      <c r="K87" s="2" t="inlineStr"/>
      <c r="L87" s="2" t="inlineStr"/>
      <c r="M87" s="13" t="inlineStr">
        <is>
          <t>PASS (re-verified green)</t>
        </is>
      </c>
    </row>
    <row r="88">
      <c r="A88" s="2" t="inlineStr">
        <is>
          <t>US-087</t>
        </is>
      </c>
      <c r="B88" s="4" t="inlineStr">
        <is>
          <t>Extension Popup</t>
        </is>
      </c>
      <c r="C88" s="2" t="inlineStr">
        <is>
          <t>Session decline</t>
        </is>
      </c>
      <c r="D88" s="2" t="inlineStr">
        <is>
          <t>popup.declineSession</t>
        </is>
      </c>
      <c r="E88" s="2" t="inlineStr">
        <is>
          <t>As a researcher, I decline a traffic session request.</t>
        </is>
      </c>
      <c r="F88" s="2" t="inlineStr">
        <is>
          <t>Declines the requested session.</t>
        </is>
      </c>
      <c r="G88" s="2" t="inlineStr">
        <is>
          <t>'Decline' on request card</t>
        </is>
      </c>
      <c r="H88" s="2" t="inlineStr">
        <is>
          <t>Only requested sessions.</t>
        </is>
      </c>
      <c r="I88" s="2" t="inlineStr">
        <is>
          <t>Documented</t>
        </is>
      </c>
      <c r="J88" s="13" t="inlineStr">
        <is>
          <t>PASS</t>
        </is>
      </c>
      <c r="K88" s="2" t="inlineStr"/>
      <c r="L88" s="2" t="inlineStr"/>
      <c r="M88" s="13" t="inlineStr">
        <is>
          <t>PASS (re-verified green)</t>
        </is>
      </c>
    </row>
    <row r="89">
      <c r="A89" s="2" t="inlineStr">
        <is>
          <t>US-088</t>
        </is>
      </c>
      <c r="B89" s="4" t="inlineStr">
        <is>
          <t>Extension Popup</t>
        </is>
      </c>
      <c r="C89" s="2" t="inlineStr">
        <is>
          <t>Session stop</t>
        </is>
      </c>
      <c r="D89" s="2" t="inlineStr">
        <is>
          <t>popup.stopSession + background.stopSession</t>
        </is>
      </c>
      <c r="E89" s="2" t="inlineStr">
        <is>
          <t>As a researcher, I stop recording immediately.</t>
        </is>
      </c>
      <c r="F89" s="2" t="inlineStr">
        <is>
          <t>Stops session, removes host permission, clears alarm/state.</t>
        </is>
      </c>
      <c r="G89" s="2" t="inlineStr">
        <is>
          <t>'Stop recording'</t>
        </is>
      </c>
      <c r="H89" s="2" t="inlineStr">
        <is>
          <t>Tolerant if server already ended it.</t>
        </is>
      </c>
      <c r="I89" s="2" t="inlineStr">
        <is>
          <t>Documented</t>
        </is>
      </c>
      <c r="J89" s="13" t="inlineStr">
        <is>
          <t>PASS</t>
        </is>
      </c>
      <c r="K89" s="2" t="inlineStr"/>
      <c r="L89" s="2" t="inlineStr"/>
      <c r="M89" s="13" t="inlineStr">
        <is>
          <t>PASS (re-verified green)</t>
        </is>
      </c>
    </row>
    <row r="90">
      <c r="A90" s="2" t="inlineStr">
        <is>
          <t>US-089</t>
        </is>
      </c>
      <c r="B90" s="5" t="inlineStr">
        <is>
          <t>Extension Background</t>
        </is>
      </c>
      <c r="C90" s="2" t="inlineStr">
        <is>
          <t>Network capture recorder</t>
        </is>
      </c>
      <c r="D90" s="2" t="inlineStr">
        <is>
          <t>background.handleNetworkCapture + session_recorder</t>
        </is>
      </c>
      <c r="E90" s="2" t="inlineStr">
        <is>
          <t>As a researcher, an approved session captures the page's own JSON responses.</t>
        </is>
      </c>
      <c r="F90" s="2" t="inlineStr">
        <is>
          <t>Recorder surfaces same-domain JSON; worker dedupes, extracts messages, POSTs approved_session evidence.</t>
        </is>
      </c>
      <c r="G90" s="2" t="inlineStr">
        <is>
          <t>automatic during approved session</t>
        </is>
      </c>
      <c r="H90" s="2" t="inlineStr">
        <is>
          <t>Domain must match; max 50/session; 403 -&gt; auto-stop; never reads cookies/headers.</t>
        </is>
      </c>
      <c r="I90" s="2" t="inlineStr">
        <is>
          <t>Documented</t>
        </is>
      </c>
      <c r="J90" s="13" t="inlineStr">
        <is>
          <t>PASS</t>
        </is>
      </c>
      <c r="K90" s="2" t="inlineStr"/>
      <c r="L90" s="2" t="inlineStr"/>
      <c r="M90" s="13" t="inlineStr">
        <is>
          <t>PASS (re-verified green)</t>
        </is>
      </c>
    </row>
    <row r="91">
      <c r="A91" s="2" t="inlineStr">
        <is>
          <t>US-090</t>
        </is>
      </c>
      <c r="B91" s="5" t="inlineStr">
        <is>
          <t>Extension Background</t>
        </is>
      </c>
      <c r="C91" s="2" t="inlineStr">
        <is>
          <t>Session auto-expiry</t>
        </is>
      </c>
      <c r="D91" s="2" t="inlineStr">
        <is>
          <t>background.alarm-expiry</t>
        </is>
      </c>
      <c r="E91" s="2" t="inlineStr">
        <is>
          <t>As a researcher, a session ends automatically at its TTL.</t>
        </is>
      </c>
      <c r="F91" s="2" t="inlineStr">
        <is>
          <t>Alarm at expiry auto-stops the session.</t>
        </is>
      </c>
      <c r="G91" s="2" t="inlineStr">
        <is>
          <t>automatic</t>
        </is>
      </c>
      <c r="H91" s="2" t="inlineStr">
        <is>
          <t>Matches oyster-session-&lt;id&gt; alarm.</t>
        </is>
      </c>
      <c r="I91" s="2" t="inlineStr">
        <is>
          <t>Documented</t>
        </is>
      </c>
      <c r="J91" s="13" t="inlineStr">
        <is>
          <t>PASS</t>
        </is>
      </c>
      <c r="K91" s="2" t="inlineStr"/>
      <c r="L91" s="2" t="inlineStr"/>
      <c r="M91" s="13" t="inlineStr">
        <is>
          <t>PASS (re-verified green)</t>
        </is>
      </c>
    </row>
    <row r="92">
      <c r="A92" s="2" t="inlineStr">
        <is>
          <t>US-091</t>
        </is>
      </c>
      <c r="B92" s="6" t="inlineStr">
        <is>
          <t>Launcher</t>
        </is>
      </c>
      <c r="C92" s="2" t="inlineStr">
        <is>
          <t>Install (macOS)</t>
        </is>
      </c>
      <c r="D92" s="2" t="inlineStr">
        <is>
          <t>Install Gaming Pulse.command</t>
        </is>
      </c>
      <c r="E92" s="2" t="inlineStr">
        <is>
          <t>As a Mac user, I one-click install everything.</t>
        </is>
      </c>
      <c r="F92" s="2" t="inlineStr">
        <is>
          <t>Installs brew deps + Postgres, creates DB + venv, writes .env, migrates, opens control center.</t>
        </is>
      </c>
      <c r="G92" s="2" t="inlineStr">
        <is>
          <t>double-click Install</t>
        </is>
      </c>
      <c r="H92" s="2" t="inlineStr">
        <is>
          <t>macOS-only; brew prompt; PG-start failure guidance.</t>
        </is>
      </c>
      <c r="I92" s="2" t="inlineStr">
        <is>
          <t>Documented</t>
        </is>
      </c>
      <c r="J92" s="13" t="inlineStr">
        <is>
          <t>PASS</t>
        </is>
      </c>
      <c r="K92" s="2" t="inlineStr"/>
      <c r="L92" s="2" t="inlineStr"/>
      <c r="M92" s="13" t="inlineStr">
        <is>
          <t>PASS (re-verified green)</t>
        </is>
      </c>
    </row>
    <row r="93">
      <c r="A93" s="2" t="inlineStr">
        <is>
          <t>US-092</t>
        </is>
      </c>
      <c r="B93" s="6" t="inlineStr">
        <is>
          <t>Launcher</t>
        </is>
      </c>
      <c r="C93" s="2" t="inlineStr">
        <is>
          <t>Open control center</t>
        </is>
      </c>
      <c r="D93" s="2" t="inlineStr">
        <is>
          <t>Open Gaming Pulse.command</t>
        </is>
      </c>
      <c r="E93" s="2" t="inlineStr">
        <is>
          <t>As a Mac user, I reopen the dashboard.</t>
        </is>
      </c>
      <c r="F93" s="2" t="inlineStr">
        <is>
          <t>Execs control_center.py.</t>
        </is>
      </c>
      <c r="G93" s="2" t="inlineStr">
        <is>
          <t>double-click Open</t>
        </is>
      </c>
      <c r="H93" s="2" t="inlineStr">
        <is>
          <t>Missing .venv/.env -&gt; 'Install first' alert.</t>
        </is>
      </c>
      <c r="I93" s="2" t="inlineStr">
        <is>
          <t>Documented</t>
        </is>
      </c>
      <c r="J93" s="13" t="inlineStr">
        <is>
          <t>PASS</t>
        </is>
      </c>
      <c r="K93" s="2" t="inlineStr"/>
      <c r="L93" s="2" t="inlineStr"/>
      <c r="M93" s="13" t="inlineStr">
        <is>
          <t>PASS (re-verified green)</t>
        </is>
      </c>
    </row>
    <row r="94">
      <c r="A94" s="2" t="inlineStr">
        <is>
          <t>US-093</t>
        </is>
      </c>
      <c r="B94" s="6" t="inlineStr">
        <is>
          <t>Launcher</t>
        </is>
      </c>
      <c r="C94" s="2" t="inlineStr">
        <is>
          <t>Attach MCP</t>
        </is>
      </c>
      <c r="D94" s="2" t="inlineStr">
        <is>
          <t>Attach Research Oyster.command</t>
        </is>
      </c>
      <c r="E94" s="2" t="inlineStr">
        <is>
          <t>As a Mac user, I attach Oyster to my AI host.</t>
        </is>
      </c>
      <c r="F94" s="2" t="inlineStr">
        <is>
          <t>Registers research-oyster-mcp with Codex and/or Claude Code.</t>
        </is>
      </c>
      <c r="G94" s="2" t="inlineStr">
        <is>
          <t>double-click Attach</t>
        </is>
      </c>
      <c r="H94" s="2" t="inlineStr">
        <is>
          <t>No host on PATH -&gt; 'No supported AI host found'.</t>
        </is>
      </c>
      <c r="I94" s="2" t="inlineStr">
        <is>
          <t>Documented</t>
        </is>
      </c>
      <c r="J94" s="13" t="inlineStr">
        <is>
          <t>PASS</t>
        </is>
      </c>
      <c r="K94" s="2" t="inlineStr"/>
      <c r="L94" s="2" t="inlineStr"/>
      <c r="M94" s="13" t="inlineStr">
        <is>
          <t>PASS (re-verified green)</t>
        </is>
      </c>
    </row>
    <row r="95">
      <c r="A95" s="2" t="inlineStr">
        <is>
          <t>US-094</t>
        </is>
      </c>
      <c r="B95" s="2" t="inlineStr">
        <is>
          <t>Control Center</t>
        </is>
      </c>
      <c r="C95" s="2" t="inlineStr">
        <is>
          <t>Active capture sessions panel</t>
        </is>
      </c>
      <c r="D95" s="2" t="inlineStr">
        <is>
          <t>control_center.sessions-panel</t>
        </is>
      </c>
      <c r="E95" s="2" t="inlineStr">
        <is>
          <t>As a user, I see and stop active browser traffic sessions from the dashboard.</t>
        </is>
      </c>
      <c r="F95" s="2" t="inlineStr">
        <is>
          <t>The control center lists open capture sessions and offers a Stop button (web-token).</t>
        </is>
      </c>
      <c r="G95" s="2" t="inlineStr">
        <is>
          <t>Research jobs area of the dashboard</t>
        </is>
      </c>
      <c r="H95" s="2" t="inlineStr">
        <is>
          <t>Uses GET /api/research/sessions + POST /api/research/sessions/{id}/stop.</t>
        </is>
      </c>
      <c r="I95" s="2" t="inlineStr">
        <is>
          <t>Documented</t>
        </is>
      </c>
      <c r="J95" s="14" t="inlineStr">
        <is>
          <t>FAIL</t>
        </is>
      </c>
      <c r="K95" s="2" t="inlineStr">
        <is>
          <t>F1 (UX): control center exposes /api/research/sessions + /stop but no dashboard panel/JS calls them; researcher cannot see or stop a traffic session from the control center.</t>
        </is>
      </c>
      <c r="L95" s="2" t="inlineStr">
        <is>
          <t>Added 'Active capture sessions' panel + loadResearchSessions()/stopResearchSession() JS calling GET /api/research/sessions and POST /api/research/sessions/{id}/stop; wired into refresh().</t>
        </is>
      </c>
      <c r="M95" s="13" t="inlineStr">
        <is>
          <t>PASS (http probe green; test_active_sessions_panel_is_wired_in_the_ui)</t>
        </is>
      </c>
    </row>
    <row r="96">
      <c r="A96" s="2" t="inlineStr">
        <is>
          <t>US-095</t>
        </is>
      </c>
      <c r="B96" s="3" t="inlineStr">
        <is>
          <t>Sessions</t>
        </is>
      </c>
      <c r="C96" s="2" t="inlineStr">
        <is>
          <t>Trust a domain (standing consent)</t>
        </is>
      </c>
      <c r="D96" s="2" t="inlineStr">
        <is>
          <t>capture.trust_domain</t>
        </is>
      </c>
      <c r="E96" s="2" t="inlineStr">
        <is>
          <t>As a researcher, I approve a domain once so future capture sessions on it start hands-free.</t>
        </is>
      </c>
      <c r="F96" s="2" t="inlineStr">
        <is>
          <t>Records per-client standing consent; requires approved_by_user + Chrome host permission; revocable and audited.</t>
        </is>
      </c>
      <c r="G96" s="2" t="inlineStr">
        <is>
          <t>Extension settings 'Trust domain' / 'Always capture this domain'</t>
        </is>
      </c>
      <c r="H96" s="2" t="inlineStr">
        <is>
          <t>Bare public domain only; scheme/port/IP/localhost rejected.</t>
        </is>
      </c>
      <c r="I96" s="2" t="inlineStr">
        <is>
          <t>Documented</t>
        </is>
      </c>
      <c r="J96" s="13" t="inlineStr">
        <is>
          <t>PASS</t>
        </is>
      </c>
      <c r="K96" s="2" t="inlineStr"/>
      <c r="L96" s="2" t="inlineStr">
        <is>
          <t>Built this session</t>
        </is>
      </c>
      <c r="M96" s="13" t="inlineStr">
        <is>
          <t>PASS (test_trusted_domain_auto_approves_only_matching_sessions; test_standing_consent_trusts_domain_and_auto_approves; JS syntax-checked + core tests)</t>
        </is>
      </c>
    </row>
    <row r="97">
      <c r="A97" s="2" t="inlineStr">
        <is>
          <t>US-096</t>
        </is>
      </c>
      <c r="B97" s="3" t="inlineStr">
        <is>
          <t>Sessions</t>
        </is>
      </c>
      <c r="C97" s="2" t="inlineStr">
        <is>
          <t>List/revoke trusted domains</t>
        </is>
      </c>
      <c r="D97" s="2" t="inlineStr">
        <is>
          <t>capture.list_trusted_domains</t>
        </is>
      </c>
      <c r="E97" s="2" t="inlineStr">
        <is>
          <t>As a researcher, I see and remove the domains I've trusted.</t>
        </is>
      </c>
      <c r="F97" s="2" t="inlineStr">
        <is>
          <t>Lists active trusted domains; untrust revokes and stops future auto-approval; unpair clears all.</t>
        </is>
      </c>
      <c r="G97" s="2" t="inlineStr">
        <is>
          <t>Extension settings list + Remove</t>
        </is>
      </c>
      <c r="H97" s="2" t="inlineStr">
        <is>
          <t>Per-client; cascade-cleared on client delete.</t>
        </is>
      </c>
      <c r="I97" s="2" t="inlineStr">
        <is>
          <t>Documented</t>
        </is>
      </c>
      <c r="J97" s="13" t="inlineStr">
        <is>
          <t>PASS</t>
        </is>
      </c>
      <c r="K97" s="2" t="inlineStr"/>
      <c r="L97" s="2" t="inlineStr">
        <is>
          <t>Built this session</t>
        </is>
      </c>
      <c r="M97" s="13" t="inlineStr">
        <is>
          <t>PASS (test_trusted_domain_auto_approves_only_matching_sessions; test_standing_consent_trusts_domain_and_auto_approves; JS syntax-checked + core tests)</t>
        </is>
      </c>
    </row>
    <row r="98">
      <c r="A98" s="2" t="inlineStr">
        <is>
          <t>US-097</t>
        </is>
      </c>
      <c r="B98" s="3" t="inlineStr">
        <is>
          <t>Sessions</t>
        </is>
      </c>
      <c r="C98" s="2" t="inlineStr">
        <is>
          <t>Auto-approve trusted sessions</t>
        </is>
      </c>
      <c r="D98" s="2" t="inlineStr">
        <is>
          <t>capture.auto_approve_for_client</t>
        </is>
      </c>
      <c r="E98" s="2" t="inlineStr">
        <is>
          <t>As a researcher, requested sessions on my trusted domains approve automatically.</t>
        </is>
      </c>
      <c r="F98" s="2" t="inlineStr">
        <is>
          <t>Approves only requested sessions whose domain the client trusts; each keeps its own 30-min TTL; audited as standing_consent.</t>
        </is>
      </c>
      <c r="G98" s="2" t="inlineStr">
        <is>
          <t>Extension auto-approve poll (1 min) + popup open</t>
        </is>
      </c>
      <c r="H98" s="2" t="inlineStr">
        <is>
          <t>Untrusted-domain sessions stay 'requested'; never opens/navigates tabs.</t>
        </is>
      </c>
      <c r="I98" s="2" t="inlineStr">
        <is>
          <t>Documented</t>
        </is>
      </c>
      <c r="J98" s="13" t="inlineStr">
        <is>
          <t>PASS</t>
        </is>
      </c>
      <c r="K98" s="2" t="inlineStr"/>
      <c r="L98" s="2" t="inlineStr">
        <is>
          <t>Built this session</t>
        </is>
      </c>
      <c r="M98" s="13" t="inlineStr">
        <is>
          <t>PASS (test_trusted_domain_auto_approves_only_matching_sessions; test_standing_consent_trusts_domain_and_auto_approves; JS syntax-checked + core tests)</t>
        </is>
      </c>
    </row>
    <row r="99">
      <c r="A99" s="2" t="inlineStr">
        <is>
          <t>US-098</t>
        </is>
      </c>
      <c r="B99" s="3" t="inlineStr">
        <is>
          <t>Sessions</t>
        </is>
      </c>
      <c r="C99" s="2" t="inlineStr">
        <is>
          <t>Standing-consent recording</t>
        </is>
      </c>
      <c r="D99" s="2" t="inlineStr">
        <is>
          <t>background.autoApproveTick + startTrustedSession</t>
        </is>
      </c>
      <c r="E99" s="2" t="inlineStr">
        <is>
          <t>As a researcher, capture starts on trusted domains on tabs I already have open.</t>
        </is>
      </c>
      <c r="F99" s="2" t="inlineStr">
        <is>
          <t>Poll approves + injects recorder into open tabs on the domain; onUpdated re-injects on navigation; Stop/TTL still apply.</t>
        </is>
      </c>
      <c r="G99" s="2" t="inlineStr">
        <is>
          <t>automatic while browsing a trusted domain</t>
        </is>
      </c>
      <c r="H99" s="2" t="inlineStr">
        <is>
          <t>Never headless/unattended; blocked while collection stopped; permission kept until untrust.</t>
        </is>
      </c>
      <c r="I99" s="2" t="inlineStr">
        <is>
          <t>Documented</t>
        </is>
      </c>
      <c r="J99" s="13" t="inlineStr">
        <is>
          <t>PASS</t>
        </is>
      </c>
      <c r="K99" s="2" t="inlineStr"/>
      <c r="L99" s="2" t="inlineStr">
        <is>
          <t>Built this session</t>
        </is>
      </c>
      <c r="M99" s="13" t="inlineStr">
        <is>
          <t>PASS (test_trusted_domain_auto_approves_only_matching_sessions; test_standing_consent_trusts_domain_and_auto_approves; JS syntax-checked + core tests)</t>
        </is>
      </c>
    </row>
    <row r="100">
      <c r="A100" s="2" t="inlineStr">
        <is>
          <t>US-099</t>
        </is>
      </c>
      <c r="B100" s="8" t="inlineStr">
        <is>
          <t>Launcher</t>
        </is>
      </c>
      <c r="C100" s="2" t="inlineStr">
        <is>
          <t>One-line installer</t>
        </is>
      </c>
      <c r="D100" s="2" t="inlineStr">
        <is>
          <t>install.sh</t>
        </is>
      </c>
      <c r="E100" s="2" t="inlineStr">
        <is>
          <t>As a new user, I install everything with a single pasted command.</t>
        </is>
      </c>
      <c r="F100" s="2" t="inlineStr">
        <is>
          <t>curl|bash: clones repo, installs Python+Postgres if missing (macOS brew / Linux apt), creates+migrates db, writes .env, attaches MCP to Claude/Codex, opens dashboard. Idempotent; never overwrites .env/db.</t>
        </is>
      </c>
      <c r="G100" s="2" t="inlineStr">
        <is>
          <t>curl -fsSL .../install.sh | bash</t>
        </is>
      </c>
      <c r="H100" s="2" t="inlineStr">
        <is>
          <t>macOS needs Homebrew; runs as root or via sudo; OYSTER_HOME/BRANCH/REPO overridable; extension still loaded once manually.</t>
        </is>
      </c>
      <c r="I100" s="2" t="inlineStr">
        <is>
          <t>Documented</t>
        </is>
      </c>
      <c r="J100" s="13" t="inlineStr">
        <is>
          <t>PASS</t>
        </is>
      </c>
      <c r="K100" s="2" t="inlineStr"/>
      <c r="L100" s="2" t="inlineStr">
        <is>
          <t>Built this session</t>
        </is>
      </c>
      <c r="M100" s="13" t="inlineStr">
        <is>
          <t>PASS (ran end-to-end in a clean temp location: clone-&gt;db-&gt;migrate-&gt;attach-&gt;exit 0; bash -n clean)</t>
        </is>
      </c>
    </row>
  </sheetData>
  <autoFilter ref="A1:M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9" t="inlineStr">
        <is>
          <t>Research Oyster — Feature Status Summary</t>
        </is>
      </c>
    </row>
    <row r="2"/>
    <row r="3">
      <c r="A3" s="10" t="inlineStr">
        <is>
          <t>Metric</t>
        </is>
      </c>
      <c r="B3" s="10" t="inlineStr">
        <is>
          <t>Count</t>
        </is>
      </c>
    </row>
    <row r="4">
      <c r="A4" s="11" t="inlineStr">
        <is>
          <t>Total user stories</t>
        </is>
      </c>
      <c r="B4" s="12">
        <f>COUNTA('User Stories'!A2:A100)</f>
        <v/>
      </c>
    </row>
    <row r="5">
      <c r="A5" s="11" t="inlineStr">
        <is>
          <t>Phase 1 documented</t>
        </is>
      </c>
      <c r="B5" s="12">
        <f>COUNTIF('User Stories'!I2:I100,"Documented")</f>
        <v/>
      </c>
    </row>
    <row r="6">
      <c r="A6" s="11" t="inlineStr">
        <is>
          <t>Phase 2 tested (non-blank)</t>
        </is>
      </c>
      <c r="B6" s="12">
        <f>COUNTIF('User Stories'!J2:J100,"?*")</f>
        <v/>
      </c>
    </row>
    <row r="7">
      <c r="A7" s="11" t="inlineStr">
        <is>
          <t>Phase 2 PASS</t>
        </is>
      </c>
      <c r="B7" s="12">
        <f>COUNTIF('User Stories'!J2:J100,"PASS*")</f>
        <v/>
      </c>
    </row>
    <row r="8">
      <c r="A8" s="11" t="inlineStr">
        <is>
          <t>Phase 2 FAIL</t>
        </is>
      </c>
      <c r="B8" s="12">
        <f>COUNTIF('User Stories'!J2:J100,"FAIL*")</f>
        <v/>
      </c>
    </row>
    <row r="9">
      <c r="A9" s="11" t="inlineStr">
        <is>
          <t>Errors logged</t>
        </is>
      </c>
      <c r="B9" s="12">
        <f>COUNTIF('User Stories'!K2:K100,"?*")</f>
        <v/>
      </c>
    </row>
    <row r="10">
      <c r="A10" s="11" t="inlineStr">
        <is>
          <t>Fixes applied</t>
        </is>
      </c>
      <c r="B10" s="12">
        <f>COUNTIF('User Stories'!L2:L100,"?*")</f>
        <v/>
      </c>
    </row>
    <row r="11">
      <c r="A11" s="11" t="inlineStr">
        <is>
          <t>Phase 4 PASS</t>
        </is>
      </c>
      <c r="B11" s="12">
        <f>COUNTIF('User Stories'!M2:M100,"PASS*")</f>
        <v/>
      </c>
    </row>
    <row r="12"/>
    <row r="13"/>
    <row r="14">
      <c r="A14" s="10" t="inlineStr">
        <is>
          <t>Area</t>
        </is>
      </c>
      <c r="B14" s="10" t="inlineStr">
        <is>
          <t>Stories</t>
        </is>
      </c>
    </row>
    <row r="15">
      <c r="A15" s="11" t="inlineStr">
        <is>
          <t>Research MCP</t>
        </is>
      </c>
      <c r="B15" s="12">
        <f>COUNTIF('User Stories'!B2:B100,"Research MCP")</f>
        <v/>
      </c>
    </row>
    <row r="16">
      <c r="A16" s="11" t="inlineStr">
        <is>
          <t>Planner</t>
        </is>
      </c>
      <c r="B16" s="12">
        <f>COUNTIF('User Stories'!B2:B100,"Planner")</f>
        <v/>
      </c>
    </row>
    <row r="17">
      <c r="A17" s="11" t="inlineStr">
        <is>
          <t>Store</t>
        </is>
      </c>
      <c r="B17" s="12">
        <f>COUNTIF('User Stories'!B2:B100,"Store")</f>
        <v/>
      </c>
    </row>
    <row r="18">
      <c r="A18" s="11" t="inlineStr">
        <is>
          <t>Connectors</t>
        </is>
      </c>
      <c r="B18" s="12">
        <f>COUNTIF('User Stories'!B2:B100,"Connectors")</f>
        <v/>
      </c>
    </row>
    <row r="19">
      <c r="A19" s="11" t="inlineStr">
        <is>
          <t>Export</t>
        </is>
      </c>
      <c r="B19" s="12">
        <f>COUNTIF('User Stories'!B2:B100,"Export")</f>
        <v/>
      </c>
    </row>
    <row r="20">
      <c r="A20" s="11" t="inlineStr">
        <is>
          <t>Capture</t>
        </is>
      </c>
      <c r="B20" s="12">
        <f>COUNTIF('User Stories'!B2:B100,"Capture")</f>
        <v/>
      </c>
    </row>
    <row r="21">
      <c r="A21" s="11" t="inlineStr">
        <is>
          <t>Sessions</t>
        </is>
      </c>
      <c r="B21" s="12">
        <f>COUNTIF('User Stories'!B2:B100,"Sessions")</f>
        <v/>
      </c>
    </row>
    <row r="22">
      <c r="A22" s="11" t="inlineStr">
        <is>
          <t>CLI</t>
        </is>
      </c>
      <c r="B22" s="12">
        <f>COUNTIF('User Stories'!B2:B100,"CLI")</f>
        <v/>
      </c>
    </row>
    <row r="23">
      <c r="A23" s="11" t="inlineStr">
        <is>
          <t>Collectors</t>
        </is>
      </c>
      <c r="B23" s="12">
        <f>COUNTIF('User Stories'!B2:B100,"Collectors")</f>
        <v/>
      </c>
    </row>
    <row r="24">
      <c r="A24" s="11" t="inlineStr">
        <is>
          <t>Reporting</t>
        </is>
      </c>
      <c r="B24" s="12">
        <f>COUNTIF('User Stories'!B2:B100,"Reporting")</f>
        <v/>
      </c>
    </row>
    <row r="25">
      <c r="A25" s="11" t="inlineStr">
        <is>
          <t>Config</t>
        </is>
      </c>
      <c r="B25" s="12">
        <f>COUNTIF('User Stories'!B2:B100,"Config")</f>
        <v/>
      </c>
    </row>
    <row r="26">
      <c r="A26" s="11" t="inlineStr">
        <is>
          <t>Control Center</t>
        </is>
      </c>
      <c r="B26" s="12">
        <f>COUNTIF('User Stories'!B2:B100,"Control Center")</f>
        <v/>
      </c>
    </row>
    <row r="27">
      <c r="A27" s="11" t="inlineStr">
        <is>
          <t>Extension Options</t>
        </is>
      </c>
      <c r="B27" s="12">
        <f>COUNTIF('User Stories'!B2:B100,"Extension Options")</f>
        <v/>
      </c>
    </row>
    <row r="28">
      <c r="A28" s="11" t="inlineStr">
        <is>
          <t>Extension Popup</t>
        </is>
      </c>
      <c r="B28" s="12">
        <f>COUNTIF('User Stories'!B2:B100,"Extension Popup")</f>
        <v/>
      </c>
    </row>
    <row r="29">
      <c r="A29" s="11" t="inlineStr">
        <is>
          <t>Extension Background</t>
        </is>
      </c>
      <c r="B29" s="12">
        <f>COUNTIF('User Stories'!B2:B100,"Extension Background")</f>
        <v/>
      </c>
    </row>
    <row r="30">
      <c r="A30" s="11" t="inlineStr">
        <is>
          <t>Launcher</t>
        </is>
      </c>
      <c r="B30" s="12">
        <f>COUNTIF('User Stories'!B2:B100,"Launcher")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How to read this workbook</t>
        </is>
      </c>
    </row>
    <row r="2">
      <c r="A2" s="11" t="inlineStr"/>
    </row>
    <row r="3">
      <c r="A3" s="11" t="inlineStr">
        <is>
          <t>This is the single canonical tracker for every Research Oyster feature.</t>
        </is>
      </c>
    </row>
    <row r="4">
      <c r="A4" s="11" t="inlineStr"/>
    </row>
    <row r="5">
      <c r="A5" s="11" t="inlineStr">
        <is>
          <t>Columns:</t>
        </is>
      </c>
    </row>
    <row r="6">
      <c r="A6" s="11" t="inlineStr">
        <is>
          <t xml:space="preserve">  Phase 1 Status  — 'Documented' once the user story + expected behaviour are written.</t>
        </is>
      </c>
    </row>
    <row r="7">
      <c r="A7" s="11" t="inlineStr">
        <is>
          <t xml:space="preserve">  Phase 2 Test Result — 'PASS' or 'FAIL: &lt;why&gt;' after testing the story against the code.</t>
        </is>
      </c>
    </row>
    <row r="8">
      <c r="A8" s="11" t="inlineStr">
        <is>
          <t xml:space="preserve">  Errors Found — any logistical/UX/logic error observed during Phase 2.</t>
        </is>
      </c>
    </row>
    <row r="9">
      <c r="A9" s="11" t="inlineStr">
        <is>
          <t xml:space="preserve">  Phase 3 Fix — what was changed to resolve the error (commit-level).</t>
        </is>
      </c>
    </row>
    <row r="10">
      <c r="A10" s="11" t="inlineStr">
        <is>
          <t xml:space="preserve">  Phase 4 Retest — 'PASS' after re-testing post-fix (or 'N/A' if nothing to fix).</t>
        </is>
      </c>
    </row>
    <row r="11">
      <c r="A11" s="11" t="inlineStr"/>
    </row>
    <row r="12">
      <c r="A12" s="11" t="inlineStr">
        <is>
          <t>The Summary sheet counts each status live with formulas.</t>
        </is>
      </c>
    </row>
    <row r="13">
      <c r="A13" s="11" t="inlineStr">
        <is>
          <t>IDs are stable (US-001..). Areas are colour-tagged on the User Stories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2026-08-04T21:31:38Z</dcterms:created>
  <dcterms:modified xmlns:dcterms="http://purl.org/dc/terms/" xmlns:xsi="http://www.w3.org/2001/XMLSchema-instance" xsi:type="dcterms:W3CDTF">2026-08-04T22:24:41Z</dcterms:modified>
</cp:coreProperties>
</file>